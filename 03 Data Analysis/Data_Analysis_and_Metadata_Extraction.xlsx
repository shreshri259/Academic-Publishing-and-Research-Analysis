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Academic Publishing and Research Analysis\03 Data Analysis\"/>
    </mc:Choice>
  </mc:AlternateContent>
  <xr:revisionPtr revIDLastSave="0" documentId="13_ncr:1_{02FF8ED7-8CE9-473C-86DE-96818A8970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ticle Metadata" sheetId="1" r:id="rId1"/>
    <sheet name="Experimental Variables" sheetId="2" r:id="rId2"/>
    <sheet name="Table 1 - Optical" sheetId="3" r:id="rId3"/>
    <sheet name="Table 4 - AFM" sheetId="4" r:id="rId4"/>
    <sheet name="Table 5 - Electrical" sheetId="5" r:id="rId5"/>
    <sheet name="Analysis" sheetId="9" r:id="rId6"/>
    <sheet name="QA Checks" sheetId="7" r:id="rId7"/>
  </sheets>
  <definedNames>
    <definedName name="_xlnm._FilterDatabase" localSheetId="4" hidden="1">'Table 5 - Electrical'!$A$1:$E$61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9" l="1"/>
  <c r="J6" i="9"/>
  <c r="I6" i="9"/>
  <c r="H6" i="9"/>
  <c r="E7" i="9"/>
  <c r="D7" i="9"/>
  <c r="E6" i="9"/>
  <c r="D6" i="9"/>
  <c r="C7" i="9"/>
  <c r="C6" i="9"/>
  <c r="B7" i="9"/>
  <c r="B6" i="9"/>
</calcChain>
</file>

<file path=xl/sharedStrings.xml><?xml version="1.0" encoding="utf-8"?>
<sst xmlns="http://schemas.openxmlformats.org/spreadsheetml/2006/main" count="429" uniqueCount="129">
  <si>
    <t>Article Title</t>
  </si>
  <si>
    <t>Journal</t>
  </si>
  <si>
    <t>Publication Year</t>
  </si>
  <si>
    <t>Authors</t>
  </si>
  <si>
    <t>DOI</t>
  </si>
  <si>
    <t>Research Area</t>
  </si>
  <si>
    <t>Material</t>
  </si>
  <si>
    <t>Synthesis Method</t>
  </si>
  <si>
    <t>Characterization Methods</t>
  </si>
  <si>
    <t>Main Variables</t>
  </si>
  <si>
    <t>Main Findings</t>
  </si>
  <si>
    <t>Keywords</t>
  </si>
  <si>
    <t>Information</t>
  </si>
  <si>
    <t>Field</t>
  </si>
  <si>
    <t>An in-depth analysis of nucleation and growth mechanism of CdS thin film synthesized by chemical bath deposition (CBD) technique</t>
  </si>
  <si>
    <t>Scientific Reports</t>
  </si>
  <si>
    <t>A. S. Najm; Hasanain Salah Naeem; Hasan Sh. Majdi; Siti Aishah Hasbullah; Hiba Ali Hasan; K. Sopian; Badariah Bais; Heidar J. Al-Iessa; Hayder A. Dhahad; Jamal M. Ali; Abbas J. Sultan</t>
  </si>
  <si>
    <t>10.1038/s41598-022-19340-z</t>
  </si>
  <si>
    <t>Materials Science / Semiconductor Thin Films</t>
  </si>
  <si>
    <t>CdS thin films with Ag and/or MPA modifications</t>
  </si>
  <si>
    <t>Substrate</t>
  </si>
  <si>
    <t>Soda-lime glass</t>
  </si>
  <si>
    <t>Chemical Bath Deposition (CBD) / Linker-Assisted CBD (LACBD)</t>
  </si>
  <si>
    <t>UV/Vis/NIR spectroscopy; XRD; FESEM; EDX; AFM; Hall-effect measurement</t>
  </si>
  <si>
    <t>Film composition / additive combination; annealing temperature</t>
  </si>
  <si>
    <t>Variable</t>
  </si>
  <si>
    <t>Conditions Studied</t>
  </si>
  <si>
    <t>Properties Measured</t>
  </si>
  <si>
    <t>Film composition</t>
  </si>
  <si>
    <t>Optical, structural, morphological and electrical properties</t>
  </si>
  <si>
    <t>Annealing temperature</t>
  </si>
  <si>
    <t>Carrier concentration, mobility, resistivity</t>
  </si>
  <si>
    <t>CdS
CdS + Ag
CdS + MPA
CdS + Ag + MPA</t>
  </si>
  <si>
    <t>As deposited
150°C
250°C
350°C
450°C</t>
  </si>
  <si>
    <t>Chemical bath deposition; nucleation; thin film; doping; CdS; annealing; band gap; materials science</t>
  </si>
  <si>
    <t>Variation in optical/structural properties; relatively uniform CdS + MPA morphology; substantial electrical changes after annealing</t>
  </si>
  <si>
    <t>Sample</t>
  </si>
  <si>
    <t>Bandgap (eV)</t>
  </si>
  <si>
    <t>Urbach Energy (eV)</t>
  </si>
  <si>
    <t>CdS</t>
  </si>
  <si>
    <t>CdS + Ag</t>
  </si>
  <si>
    <t>CdS + MPA</t>
  </si>
  <si>
    <t>CdS + Ag + MPA</t>
  </si>
  <si>
    <t>Annealing Temperature</t>
  </si>
  <si>
    <t>Property</t>
  </si>
  <si>
    <t>Value</t>
  </si>
  <si>
    <t>Unit</t>
  </si>
  <si>
    <t>As deposited</t>
  </si>
  <si>
    <t>Bulk concentration</t>
  </si>
  <si>
    <t>cm⁻³</t>
  </si>
  <si>
    <t>150°C</t>
  </si>
  <si>
    <t>250°C</t>
  </si>
  <si>
    <t>350°C</t>
  </si>
  <si>
    <t>450°C</t>
  </si>
  <si>
    <t>Carrier mobility</t>
  </si>
  <si>
    <t>cm² V⁻¹ s⁻¹</t>
  </si>
  <si>
    <t>Resistivity</t>
  </si>
  <si>
    <t>Ω cm</t>
  </si>
  <si>
    <t>Optical Metric</t>
  </si>
  <si>
    <t>Min</t>
  </si>
  <si>
    <t>Max</t>
  </si>
  <si>
    <t>Sample at Min</t>
  </si>
  <si>
    <t>Sample at Max</t>
  </si>
  <si>
    <t>AFM Metric</t>
  </si>
  <si>
    <t>PASS</t>
  </si>
  <si>
    <t>Film Composition</t>
  </si>
  <si>
    <t>Source note</t>
  </si>
  <si>
    <t>Table 1 row count</t>
  </si>
  <si>
    <t>4 sample rows found; 8 numeric values present.</t>
  </si>
  <si>
    <t>Table 4 row count</t>
  </si>
  <si>
    <t>4 sample rows found; 20 numeric values present.</t>
  </si>
  <si>
    <t>Table 5 row count</t>
  </si>
  <si>
    <t>60 observations = 4 samples × 5 annealing conditions × 3 properties.</t>
  </si>
  <si>
    <t>Table 1 numeric types</t>
  </si>
  <si>
    <t>Bandgap and Urbach energy stored as numeric values; units kept in headers.</t>
  </si>
  <si>
    <t>Table 4 numeric types</t>
  </si>
  <si>
    <t>AFM measurements stored as numeric values; units kept in headers.</t>
  </si>
  <si>
    <t>Table 5 numeric types</t>
  </si>
  <si>
    <t>All 60 measurement values stored as numeric values; units stored separately.</t>
  </si>
  <si>
    <t>Duplicate observation check</t>
  </si>
  <si>
    <t>Each Sample × Annealing Temperature × Property combination appears once.</t>
  </si>
  <si>
    <t>Missing-value check</t>
  </si>
  <si>
    <t>No blank values in the three extracted tables.</t>
  </si>
  <si>
    <t>Source-label preservation</t>
  </si>
  <si>
    <t>Table 4 source labels preserve the published '(a)/(b)/(c)/(e)' notation.</t>
  </si>
  <si>
    <t>Table 4 label note</t>
  </si>
  <si>
    <t>NOTE</t>
  </si>
  <si>
    <t>The published Table 4 lists 'CdS + Ag + MPA (e)', while the paper's Figure 7 caption labels that sample (d). This workbook preserves the table label in Source Sample and normalizes the Analysis Sample.</t>
  </si>
  <si>
    <t>Source-unit inconsistency</t>
  </si>
  <si>
    <t>Table 5 itself labels bulk concentration as cm^-3, carrier mobility as cm^2 V^-1 s^-1, and resistivity as Ω cm. The Conclusions paragraph contains an apparent unit/label inconsistency; this workbook follows the Table 5 headers and does not silently alter source data.</t>
  </si>
  <si>
    <t>Check</t>
  </si>
  <si>
    <t>Result</t>
  </si>
  <si>
    <t>Notes</t>
  </si>
  <si>
    <t>Analysis — Derived Checks and Summary</t>
  </si>
  <si>
    <t>Annealing Condition</t>
  </si>
  <si>
    <t>1. Optical Analysis</t>
  </si>
  <si>
    <t>3. Electrical Analysis</t>
  </si>
  <si>
    <t>a. Annealing Temperature vs Resistivity</t>
  </si>
  <si>
    <r>
      <t xml:space="preserve">Average Roughness </t>
    </r>
    <r>
      <rPr>
        <i/>
        <sz val="11"/>
        <color theme="1"/>
        <rFont val="Lato"/>
        <family val="2"/>
      </rPr>
      <t>Sa</t>
    </r>
    <r>
      <rPr>
        <sz val="11"/>
        <color theme="1"/>
        <rFont val="Lato"/>
        <family val="2"/>
      </rPr>
      <t xml:space="preserve"> (nm)</t>
    </r>
  </si>
  <si>
    <r>
      <rPr>
        <b/>
        <i/>
        <sz val="11"/>
        <color theme="1"/>
        <rFont val="Lato"/>
        <family val="2"/>
      </rPr>
      <t>Sa</t>
    </r>
    <r>
      <rPr>
        <b/>
        <sz val="11"/>
        <color theme="1"/>
        <rFont val="Lato"/>
        <family val="2"/>
      </rPr>
      <t xml:space="preserve"> (nm)</t>
    </r>
  </si>
  <si>
    <t>Lowest Resistivity</t>
  </si>
  <si>
    <t>1278.90 Ω cm</t>
  </si>
  <si>
    <t>1088.25 Ω cm</t>
  </si>
  <si>
    <t>1.81 Ω cm</t>
  </si>
  <si>
    <t>13.36 Ω cm</t>
  </si>
  <si>
    <t>Temperature</t>
  </si>
  <si>
    <t>Highest Carrier Concentration</t>
  </si>
  <si>
    <t>3.84E+14 cm⁻³</t>
  </si>
  <si>
    <t>4.93E+14 cm⁻³</t>
  </si>
  <si>
    <t>3.65E+18 cm⁻³</t>
  </si>
  <si>
    <t>6.90E+17 cm⁻³</t>
  </si>
  <si>
    <r>
      <rPr>
        <b/>
        <u/>
        <sz val="14"/>
        <color theme="1"/>
        <rFont val="Lato"/>
        <family val="2"/>
      </rPr>
      <t>Optical Properties - Raw Data</t>
    </r>
    <r>
      <rPr>
        <b/>
        <sz val="14"/>
        <color theme="1"/>
        <rFont val="Lato"/>
        <family val="2"/>
      </rPr>
      <t xml:space="preserve"> </t>
    </r>
    <r>
      <rPr>
        <sz val="12"/>
        <color theme="1"/>
        <rFont val="Lato"/>
        <family val="2"/>
      </rPr>
      <t>(Table 1 in original document)</t>
    </r>
  </si>
  <si>
    <r>
      <rPr>
        <b/>
        <u/>
        <sz val="14"/>
        <color theme="1"/>
        <rFont val="Lato"/>
        <family val="2"/>
      </rPr>
      <t>Electrical Properties - Raw Data</t>
    </r>
    <r>
      <rPr>
        <b/>
        <sz val="14"/>
        <color theme="1"/>
        <rFont val="Lato"/>
        <family val="2"/>
      </rPr>
      <t xml:space="preserve"> </t>
    </r>
    <r>
      <rPr>
        <sz val="12"/>
        <color theme="1"/>
        <rFont val="Lato"/>
        <family val="2"/>
      </rPr>
      <t>(Table 5 in original document)</t>
    </r>
  </si>
  <si>
    <t>Key Electrical Observations</t>
  </si>
  <si>
    <t>The CdS + Ag + MPA sample has the lowest reported average roughness (4.0 nm); Basic CdS has the highest (24.3 nm)</t>
  </si>
  <si>
    <t>The CdS + MPA sample has the highest reported bandgap (2.52 eV); CdS + Ag has the lowest (2.26 eV)</t>
  </si>
  <si>
    <t>Charts use values transcribed from Table 1, Table 4 and Table 5; see source sheets for source labels</t>
  </si>
  <si>
    <t>Source-data rule: raw table sheets preserve published values; derived calculations belong here</t>
  </si>
  <si>
    <r>
      <t xml:space="preserve">In Summary </t>
    </r>
    <r>
      <rPr>
        <sz val="11"/>
        <color theme="1"/>
        <rFont val="Calibri"/>
        <family val="2"/>
      </rPr>
      <t>→</t>
    </r>
  </si>
  <si>
    <t>• Annealing produced composition-dependent changes rather than one consistent temperature trend
• CdS + MPA reached the lowest reported resistivity (1.81 Ω cm) at 150 °C
• CdS + MPA reached the highest reported carrier concentration (3.65 × 10¹⁸ cm⁻³) at 150 °C
• Carrier mobility remains in the source dataset but is not charted in this first analysis</t>
  </si>
  <si>
    <t>b. Annealing Temperature vs Bulk Carrier Concentration</t>
  </si>
  <si>
    <r>
      <t xml:space="preserve">Average Roughness </t>
    </r>
    <r>
      <rPr>
        <i/>
        <sz val="11"/>
        <color theme="0"/>
        <rFont val="Lato"/>
        <family val="2"/>
      </rPr>
      <t>Sa</t>
    </r>
    <r>
      <rPr>
        <b/>
        <sz val="11"/>
        <color theme="0"/>
        <rFont val="Lato"/>
        <family val="2"/>
      </rPr>
      <t xml:space="preserve"> (nm)</t>
    </r>
  </si>
  <si>
    <r>
      <t xml:space="preserve">Root Mean Square </t>
    </r>
    <r>
      <rPr>
        <i/>
        <sz val="11"/>
        <color theme="0"/>
        <rFont val="Lato"/>
        <family val="2"/>
      </rPr>
      <t>RMS</t>
    </r>
    <r>
      <rPr>
        <b/>
        <sz val="11"/>
        <color theme="0"/>
        <rFont val="Lato"/>
        <family val="2"/>
      </rPr>
      <t xml:space="preserve"> (nm)</t>
    </r>
  </si>
  <si>
    <r>
      <t xml:space="preserve">Surface Skewness </t>
    </r>
    <r>
      <rPr>
        <i/>
        <sz val="11"/>
        <color theme="0"/>
        <rFont val="Lato"/>
        <family val="2"/>
      </rPr>
      <t>Ssk</t>
    </r>
  </si>
  <si>
    <r>
      <t xml:space="preserve">Surface Kurtosis </t>
    </r>
    <r>
      <rPr>
        <i/>
        <sz val="11"/>
        <color theme="0"/>
        <rFont val="Lato"/>
        <family val="2"/>
      </rPr>
      <t>Sku</t>
    </r>
  </si>
  <si>
    <r>
      <t xml:space="preserve">Top Ten Height </t>
    </r>
    <r>
      <rPr>
        <i/>
        <sz val="11"/>
        <color theme="0"/>
        <rFont val="Lato"/>
        <family val="2"/>
      </rPr>
      <t>Sz</t>
    </r>
    <r>
      <rPr>
        <b/>
        <sz val="11"/>
        <color theme="0"/>
        <rFont val="Lato"/>
        <family val="2"/>
      </rPr>
      <t xml:space="preserve"> (nm)</t>
    </r>
  </si>
  <si>
    <t>Observations</t>
  </si>
  <si>
    <r>
      <rPr>
        <b/>
        <u/>
        <sz val="14"/>
        <color theme="1"/>
        <rFont val="Lato"/>
        <family val="2"/>
      </rPr>
      <t>AFM - Raw Data</t>
    </r>
    <r>
      <rPr>
        <b/>
        <sz val="14"/>
        <color theme="1"/>
        <rFont val="Lato"/>
        <family val="2"/>
      </rPr>
      <t xml:space="preserve"> </t>
    </r>
    <r>
      <rPr>
        <sz val="12"/>
        <color theme="1"/>
        <rFont val="Lato"/>
        <family val="2"/>
      </rPr>
      <t>(Table 4 in original document)</t>
    </r>
  </si>
  <si>
    <t>2. Surface Topography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</si>
</sst>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Lato"/>
      <family val="2"/>
    </font>
    <font>
      <sz val="11"/>
      <color theme="1"/>
      <name val="Lato"/>
      <family val="2"/>
    </font>
    <font>
      <sz val="11"/>
      <color rgb="FF000000"/>
      <name val="Lato"/>
      <family val="2"/>
    </font>
    <font>
      <sz val="12"/>
      <color theme="1"/>
      <name val="Lato"/>
      <family val="2"/>
    </font>
    <font>
      <b/>
      <u/>
      <sz val="16"/>
      <color theme="1"/>
      <name val="Lato"/>
      <family val="2"/>
    </font>
    <font>
      <i/>
      <sz val="11"/>
      <color theme="1"/>
      <name val="Lato"/>
      <family val="2"/>
    </font>
    <font>
      <b/>
      <i/>
      <sz val="11"/>
      <color theme="1"/>
      <name val="Lato"/>
      <family val="2"/>
    </font>
    <font>
      <b/>
      <sz val="14"/>
      <color theme="1"/>
      <name val="Lato"/>
      <family val="2"/>
    </font>
    <font>
      <b/>
      <u/>
      <sz val="14"/>
      <color theme="1"/>
      <name val="Lato"/>
      <family val="2"/>
    </font>
    <font>
      <b/>
      <sz val="12"/>
      <color theme="1"/>
      <name val="Lato"/>
      <family val="2"/>
    </font>
    <font>
      <b/>
      <sz val="11"/>
      <color theme="0"/>
      <name val="Lato"/>
      <family val="2"/>
    </font>
    <font>
      <sz val="11"/>
      <color theme="1"/>
      <name val="Calibri"/>
      <family val="2"/>
    </font>
    <font>
      <i/>
      <sz val="11"/>
      <color theme="0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1" fontId="2" fillId="0" borderId="1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11" fontId="2" fillId="0" borderId="33" xfId="0" applyNumberFormat="1" applyFont="1" applyBorder="1" applyAlignment="1">
      <alignment horizontal="center" vertical="center" wrapText="1"/>
    </xf>
    <xf numFmtId="11" fontId="2" fillId="0" borderId="36" xfId="0" applyNumberFormat="1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11" fontId="2" fillId="0" borderId="50" xfId="0" applyNumberFormat="1" applyFont="1" applyBorder="1" applyAlignment="1">
      <alignment horizontal="center" vertical="center" wrapText="1"/>
    </xf>
    <xf numFmtId="11" fontId="2" fillId="0" borderId="47" xfId="0" applyNumberFormat="1" applyFont="1" applyBorder="1" applyAlignment="1">
      <alignment horizontal="center" vertical="center" wrapText="1"/>
    </xf>
    <xf numFmtId="11" fontId="2" fillId="0" borderId="48" xfId="0" applyNumberFormat="1" applyFont="1" applyBorder="1" applyAlignment="1">
      <alignment horizontal="center" vertical="center" wrapText="1"/>
    </xf>
    <xf numFmtId="11" fontId="2" fillId="0" borderId="49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1" fontId="2" fillId="6" borderId="2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2" fillId="0" borderId="59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Bandgap by Film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Bandgap (eV)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strRef>
              <c:f>Analysis!$A$11:$A$14</c:f>
              <c:strCache>
                <c:ptCount val="4"/>
                <c:pt idx="0">
                  <c:v>CdS</c:v>
                </c:pt>
                <c:pt idx="1">
                  <c:v>CdS + Ag</c:v>
                </c:pt>
                <c:pt idx="2">
                  <c:v>CdS + MPA</c:v>
                </c:pt>
                <c:pt idx="3">
                  <c:v>CdS + Ag + MPA</c:v>
                </c:pt>
              </c:strCache>
            </c:strRef>
          </c:cat>
          <c:val>
            <c:numRef>
              <c:f>Analysis!$B$11:$B$14</c:f>
              <c:numCache>
                <c:formatCode>General</c:formatCode>
                <c:ptCount val="4"/>
                <c:pt idx="0">
                  <c:v>2.4300000000000002</c:v>
                </c:pt>
                <c:pt idx="1">
                  <c:v>2.2599999999999998</c:v>
                </c:pt>
                <c:pt idx="2">
                  <c:v>2.52</c:v>
                </c:pt>
                <c:pt idx="3">
                  <c:v>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5-4929-BF42-846DEC18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500048"/>
        <c:axId val="793481328"/>
      </c:barChart>
      <c:catAx>
        <c:axId val="79350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alpha val="50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81328"/>
        <c:crosses val="autoZero"/>
        <c:auto val="1"/>
        <c:lblAlgn val="ctr"/>
        <c:lblOffset val="100"/>
        <c:noMultiLvlLbl val="0"/>
      </c:catAx>
      <c:valAx>
        <c:axId val="7934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>
                  <a:solidFill>
                    <a:schemeClr val="tx1">
                      <a:alpha val="50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0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Roughness by Film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Analysis!$H$10</c:f>
              <c:strCache>
                <c:ptCount val="1"/>
                <c:pt idx="0">
                  <c:v>Sa (nm)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Analysis!$G$11:$G$14</c:f>
              <c:strCache>
                <c:ptCount val="4"/>
                <c:pt idx="0">
                  <c:v>CdS</c:v>
                </c:pt>
                <c:pt idx="1">
                  <c:v>CdS + Ag</c:v>
                </c:pt>
                <c:pt idx="2">
                  <c:v>CdS + MPA</c:v>
                </c:pt>
                <c:pt idx="3">
                  <c:v>CdS + Ag + MPA</c:v>
                </c:pt>
              </c:strCache>
            </c:strRef>
          </c:cat>
          <c:val>
            <c:numRef>
              <c:f>Analysis!$H$11:$H$14</c:f>
              <c:numCache>
                <c:formatCode>General</c:formatCode>
                <c:ptCount val="4"/>
                <c:pt idx="0">
                  <c:v>24.3</c:v>
                </c:pt>
                <c:pt idx="1">
                  <c:v>8.1999999999999993</c:v>
                </c:pt>
                <c:pt idx="2">
                  <c:v>7.4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A-4DE0-90DE-8B1F64BE2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505808"/>
        <c:axId val="793500528"/>
      </c:barChart>
      <c:catAx>
        <c:axId val="79350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alpha val="50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00528"/>
        <c:crosses val="autoZero"/>
        <c:auto val="1"/>
        <c:lblAlgn val="ctr"/>
        <c:lblOffset val="100"/>
        <c:noMultiLvlLbl val="0"/>
      </c:catAx>
      <c:valAx>
        <c:axId val="7935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alpha val="50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0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Effect of Annealing Temperature on Film Resistivity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Analysis!$N$6</c:f>
              <c:strCache>
                <c:ptCount val="1"/>
                <c:pt idx="0">
                  <c:v>CdS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Analysis!$M$7:$M$11</c:f>
              <c:strCache>
                <c:ptCount val="5"/>
                <c:pt idx="0">
                  <c:v>As deposited</c:v>
                </c:pt>
                <c:pt idx="1">
                  <c:v>150°C</c:v>
                </c:pt>
                <c:pt idx="2">
                  <c:v>250°C</c:v>
                </c:pt>
                <c:pt idx="3">
                  <c:v>350°C</c:v>
                </c:pt>
                <c:pt idx="4">
                  <c:v>450°C</c:v>
                </c:pt>
              </c:strCache>
            </c:strRef>
          </c:cat>
          <c:val>
            <c:numRef>
              <c:f>Analysis!$N$7:$N$11</c:f>
              <c:numCache>
                <c:formatCode>General</c:formatCode>
                <c:ptCount val="5"/>
                <c:pt idx="0">
                  <c:v>1513.46</c:v>
                </c:pt>
                <c:pt idx="1">
                  <c:v>1621.74</c:v>
                </c:pt>
                <c:pt idx="2">
                  <c:v>1278.9000000000001</c:v>
                </c:pt>
                <c:pt idx="3">
                  <c:v>1688.9</c:v>
                </c:pt>
                <c:pt idx="4">
                  <c:v>1386.46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1-4634-B8F7-A2530FFEB430}"/>
            </c:ext>
          </c:extLst>
        </c:ser>
        <c:ser>
          <c:idx val="1"/>
          <c:order val="1"/>
          <c:tx>
            <c:strRef>
              <c:f>Analysis!$O$6</c:f>
              <c:strCache>
                <c:ptCount val="1"/>
                <c:pt idx="0">
                  <c:v>CdS + Ag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00B0F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8575" cap="rnd" cmpd="sng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FA1-4634-B8F7-A2530FFEB430}"/>
              </c:ext>
            </c:extLst>
          </c:dPt>
          <c:cat>
            <c:strRef>
              <c:f>Analysis!$M$7:$M$11</c:f>
              <c:strCache>
                <c:ptCount val="5"/>
                <c:pt idx="0">
                  <c:v>As deposited</c:v>
                </c:pt>
                <c:pt idx="1">
                  <c:v>150°C</c:v>
                </c:pt>
                <c:pt idx="2">
                  <c:v>250°C</c:v>
                </c:pt>
                <c:pt idx="3">
                  <c:v>350°C</c:v>
                </c:pt>
                <c:pt idx="4">
                  <c:v>450°C</c:v>
                </c:pt>
              </c:strCache>
            </c:strRef>
          </c:cat>
          <c:val>
            <c:numRef>
              <c:f>Analysis!$O$7:$O$11</c:f>
              <c:numCache>
                <c:formatCode>General</c:formatCode>
                <c:ptCount val="5"/>
                <c:pt idx="0">
                  <c:v>1088.25</c:v>
                </c:pt>
                <c:pt idx="1">
                  <c:v>1750.28</c:v>
                </c:pt>
                <c:pt idx="2">
                  <c:v>1426.58</c:v>
                </c:pt>
                <c:pt idx="3">
                  <c:v>1630.24</c:v>
                </c:pt>
                <c:pt idx="4">
                  <c:v>1268.9100000000001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1-4634-B8F7-A2530FFEB430}"/>
            </c:ext>
          </c:extLst>
        </c:ser>
        <c:ser>
          <c:idx val="2"/>
          <c:order val="2"/>
          <c:tx>
            <c:strRef>
              <c:f>Analysis!$P$6</c:f>
              <c:strCache>
                <c:ptCount val="1"/>
                <c:pt idx="0">
                  <c:v>CdS + MPA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Analysis!$M$7:$M$11</c:f>
              <c:strCache>
                <c:ptCount val="5"/>
                <c:pt idx="0">
                  <c:v>As deposited</c:v>
                </c:pt>
                <c:pt idx="1">
                  <c:v>150°C</c:v>
                </c:pt>
                <c:pt idx="2">
                  <c:v>250°C</c:v>
                </c:pt>
                <c:pt idx="3">
                  <c:v>350°C</c:v>
                </c:pt>
                <c:pt idx="4">
                  <c:v>450°C</c:v>
                </c:pt>
              </c:strCache>
            </c:strRef>
          </c:cat>
          <c:val>
            <c:numRef>
              <c:f>Analysis!$P$7:$P$11</c:f>
              <c:numCache>
                <c:formatCode>General</c:formatCode>
                <c:ptCount val="5"/>
                <c:pt idx="0">
                  <c:v>1521.76</c:v>
                </c:pt>
                <c:pt idx="1">
                  <c:v>1.81</c:v>
                </c:pt>
                <c:pt idx="2">
                  <c:v>6.47</c:v>
                </c:pt>
                <c:pt idx="3">
                  <c:v>826.94</c:v>
                </c:pt>
                <c:pt idx="4">
                  <c:v>244.7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1-4634-B8F7-A2530FFEB430}"/>
            </c:ext>
          </c:extLst>
        </c:ser>
        <c:ser>
          <c:idx val="3"/>
          <c:order val="3"/>
          <c:tx>
            <c:strRef>
              <c:f>Analysis!$Q$6</c:f>
              <c:strCache>
                <c:ptCount val="1"/>
                <c:pt idx="0">
                  <c:v>CdS + Ag + MPA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Analysis!$M$7:$M$11</c:f>
              <c:strCache>
                <c:ptCount val="5"/>
                <c:pt idx="0">
                  <c:v>As deposited</c:v>
                </c:pt>
                <c:pt idx="1">
                  <c:v>150°C</c:v>
                </c:pt>
                <c:pt idx="2">
                  <c:v>250°C</c:v>
                </c:pt>
                <c:pt idx="3">
                  <c:v>350°C</c:v>
                </c:pt>
                <c:pt idx="4">
                  <c:v>450°C</c:v>
                </c:pt>
              </c:strCache>
            </c:strRef>
          </c:cat>
          <c:val>
            <c:numRef>
              <c:f>Analysis!$Q$7:$Q$11</c:f>
              <c:numCache>
                <c:formatCode>General</c:formatCode>
                <c:ptCount val="5"/>
                <c:pt idx="0">
                  <c:v>13.36</c:v>
                </c:pt>
                <c:pt idx="1">
                  <c:v>33.770000000000003</c:v>
                </c:pt>
                <c:pt idx="2">
                  <c:v>30.04</c:v>
                </c:pt>
                <c:pt idx="3">
                  <c:v>4004.3</c:v>
                </c:pt>
                <c:pt idx="4">
                  <c:v>1178.82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A1-4634-B8F7-A2530FFEB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527408"/>
        <c:axId val="793533648"/>
      </c:lineChart>
      <c:catAx>
        <c:axId val="79352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alpha val="50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33648"/>
        <c:crosses val="autoZero"/>
        <c:auto val="1"/>
        <c:lblAlgn val="ctr"/>
        <c:lblOffset val="100"/>
        <c:noMultiLvlLbl val="0"/>
      </c:catAx>
      <c:valAx>
        <c:axId val="793533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alpha val="50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2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>
                    <a:alpha val="50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Effect of Annealing Temperature on Bulk Carrier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Analysis!$T$6</c:f>
              <c:strCache>
                <c:ptCount val="1"/>
                <c:pt idx="0">
                  <c:v>CdS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Analysis!$S$7:$S$11</c:f>
              <c:strCache>
                <c:ptCount val="5"/>
                <c:pt idx="0">
                  <c:v>As deposited</c:v>
                </c:pt>
                <c:pt idx="1">
                  <c:v>150°C</c:v>
                </c:pt>
                <c:pt idx="2">
                  <c:v>250°C</c:v>
                </c:pt>
                <c:pt idx="3">
                  <c:v>350°C</c:v>
                </c:pt>
                <c:pt idx="4">
                  <c:v>450°C</c:v>
                </c:pt>
              </c:strCache>
            </c:strRef>
          </c:cat>
          <c:val>
            <c:numRef>
              <c:f>Analysis!$T$7:$T$11</c:f>
              <c:numCache>
                <c:formatCode>0.00E+00</c:formatCode>
                <c:ptCount val="5"/>
                <c:pt idx="0">
                  <c:v>321000000000000</c:v>
                </c:pt>
                <c:pt idx="1">
                  <c:v>382000000000000</c:v>
                </c:pt>
                <c:pt idx="2">
                  <c:v>384000000000000</c:v>
                </c:pt>
                <c:pt idx="3">
                  <c:v>212000000000000</c:v>
                </c:pt>
                <c:pt idx="4">
                  <c:v>298000000000000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F-4AD7-90A3-32FD764253CF}"/>
            </c:ext>
          </c:extLst>
        </c:ser>
        <c:ser>
          <c:idx val="1"/>
          <c:order val="1"/>
          <c:tx>
            <c:strRef>
              <c:f>Analysis!$U$6</c:f>
              <c:strCache>
                <c:ptCount val="1"/>
                <c:pt idx="0">
                  <c:v>CdS + Ag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Analysis!$S$7:$S$11</c:f>
              <c:strCache>
                <c:ptCount val="5"/>
                <c:pt idx="0">
                  <c:v>As deposited</c:v>
                </c:pt>
                <c:pt idx="1">
                  <c:v>150°C</c:v>
                </c:pt>
                <c:pt idx="2">
                  <c:v>250°C</c:v>
                </c:pt>
                <c:pt idx="3">
                  <c:v>350°C</c:v>
                </c:pt>
                <c:pt idx="4">
                  <c:v>450°C</c:v>
                </c:pt>
              </c:strCache>
            </c:strRef>
          </c:cat>
          <c:val>
            <c:numRef>
              <c:f>Analysis!$U$7:$U$11</c:f>
              <c:numCache>
                <c:formatCode>0.00E+00</c:formatCode>
                <c:ptCount val="5"/>
                <c:pt idx="0">
                  <c:v>493000000000000</c:v>
                </c:pt>
                <c:pt idx="1">
                  <c:v>247000000000000</c:v>
                </c:pt>
                <c:pt idx="2">
                  <c:v>420000000000000</c:v>
                </c:pt>
                <c:pt idx="3">
                  <c:v>231000000000000</c:v>
                </c:pt>
                <c:pt idx="4">
                  <c:v>420000000000000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F-4AD7-90A3-32FD764253CF}"/>
            </c:ext>
          </c:extLst>
        </c:ser>
        <c:ser>
          <c:idx val="2"/>
          <c:order val="2"/>
          <c:tx>
            <c:strRef>
              <c:f>Analysis!$V$6</c:f>
              <c:strCache>
                <c:ptCount val="1"/>
                <c:pt idx="0">
                  <c:v>CdS + MPA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92D050">
                  <a:alpha val="94000"/>
                </a:srgbClr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Analysis!$S$7:$S$11</c:f>
              <c:strCache>
                <c:ptCount val="5"/>
                <c:pt idx="0">
                  <c:v>As deposited</c:v>
                </c:pt>
                <c:pt idx="1">
                  <c:v>150°C</c:v>
                </c:pt>
                <c:pt idx="2">
                  <c:v>250°C</c:v>
                </c:pt>
                <c:pt idx="3">
                  <c:v>350°C</c:v>
                </c:pt>
                <c:pt idx="4">
                  <c:v>450°C</c:v>
                </c:pt>
              </c:strCache>
            </c:strRef>
          </c:cat>
          <c:val>
            <c:numRef>
              <c:f>Analysis!$V$7:$V$11</c:f>
              <c:numCache>
                <c:formatCode>0.00E+00</c:formatCode>
                <c:ptCount val="5"/>
                <c:pt idx="0">
                  <c:v>293000000000000</c:v>
                </c:pt>
                <c:pt idx="1">
                  <c:v>3.65E+18</c:v>
                </c:pt>
                <c:pt idx="2">
                  <c:v>7.88E+17</c:v>
                </c:pt>
                <c:pt idx="3">
                  <c:v>353000000000000</c:v>
                </c:pt>
                <c:pt idx="4">
                  <c:v>2000000000000000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0F-4AD7-90A3-32FD764253CF}"/>
            </c:ext>
          </c:extLst>
        </c:ser>
        <c:ser>
          <c:idx val="3"/>
          <c:order val="3"/>
          <c:tx>
            <c:strRef>
              <c:f>Analysis!$W$6</c:f>
              <c:strCache>
                <c:ptCount val="1"/>
                <c:pt idx="0">
                  <c:v>CdS + Ag + MPA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Analysis!$S$7:$S$11</c:f>
              <c:strCache>
                <c:ptCount val="5"/>
                <c:pt idx="0">
                  <c:v>As deposited</c:v>
                </c:pt>
                <c:pt idx="1">
                  <c:v>150°C</c:v>
                </c:pt>
                <c:pt idx="2">
                  <c:v>250°C</c:v>
                </c:pt>
                <c:pt idx="3">
                  <c:v>350°C</c:v>
                </c:pt>
                <c:pt idx="4">
                  <c:v>450°C</c:v>
                </c:pt>
              </c:strCache>
            </c:strRef>
          </c:cat>
          <c:val>
            <c:numRef>
              <c:f>Analysis!$W$7:$W$11</c:f>
              <c:numCache>
                <c:formatCode>0.00E+00</c:formatCode>
                <c:ptCount val="5"/>
                <c:pt idx="0">
                  <c:v>2.14E+17</c:v>
                </c:pt>
                <c:pt idx="1">
                  <c:v>1.87E+17</c:v>
                </c:pt>
                <c:pt idx="2">
                  <c:v>6.9E+17</c:v>
                </c:pt>
                <c:pt idx="3">
                  <c:v>193000000000000</c:v>
                </c:pt>
                <c:pt idx="4">
                  <c:v>428000000000000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0F-4AD7-90A3-32FD7642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544208"/>
        <c:axId val="793542288"/>
      </c:lineChart>
      <c:catAx>
        <c:axId val="7935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42288"/>
        <c:crosses val="autoZero"/>
        <c:auto val="1"/>
        <c:lblAlgn val="ctr"/>
        <c:lblOffset val="100"/>
        <c:noMultiLvlLbl val="0"/>
      </c:catAx>
      <c:valAx>
        <c:axId val="793542288"/>
        <c:scaling>
          <c:logBase val="10"/>
          <c:orientation val="minMax"/>
          <c:min val="1000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15</xdr:row>
      <xdr:rowOff>41910</xdr:rowOff>
    </xdr:from>
    <xdr:to>
      <xdr:col>4</xdr:col>
      <xdr:colOff>1203960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2EE8D-B4C0-7C74-B310-672F9A350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15</xdr:row>
      <xdr:rowOff>64770</xdr:rowOff>
    </xdr:from>
    <xdr:to>
      <xdr:col>10</xdr:col>
      <xdr:colOff>967740</xdr:colOff>
      <xdr:row>33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E6460-A7AD-64CC-F2A9-BAADBEE39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403860</xdr:colOff>
      <xdr:row>11</xdr:row>
      <xdr:rowOff>148590</xdr:rowOff>
    </xdr:from>
    <xdr:to>
      <xdr:col>17</xdr:col>
      <xdr:colOff>213360</xdr:colOff>
      <xdr:row>27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1779CC-FC68-EEE0-BADC-29CAB33E8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441960</xdr:colOff>
      <xdr:row>11</xdr:row>
      <xdr:rowOff>133350</xdr:rowOff>
    </xdr:from>
    <xdr:to>
      <xdr:col>23</xdr:col>
      <xdr:colOff>266700</xdr:colOff>
      <xdr:row>27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F3B4A3-7876-6E88-C613-6013B3D82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D10" sqref="D10"/>
    </sheetView>
  </sheetViews>
  <sheetFormatPr defaultColWidth="10" defaultRowHeight="13.8" x14ac:dyDescent="0.3"/>
  <cols>
    <col min="1" max="1" width="27.33203125" style="2" customWidth="1"/>
    <col min="2" max="2" width="49" style="2" customWidth="1"/>
    <col min="3" max="16384" width="10" style="2"/>
  </cols>
  <sheetData>
    <row r="1" spans="1:2" s="1" customFormat="1" ht="15" thickTop="1" thickBot="1" x14ac:dyDescent="0.35">
      <c r="A1" s="56" t="s">
        <v>13</v>
      </c>
      <c r="B1" s="57" t="s">
        <v>12</v>
      </c>
    </row>
    <row r="2" spans="1:2" ht="41.4" x14ac:dyDescent="0.3">
      <c r="A2" s="16" t="s">
        <v>0</v>
      </c>
      <c r="B2" s="17" t="s">
        <v>14</v>
      </c>
    </row>
    <row r="3" spans="1:2" x14ac:dyDescent="0.3">
      <c r="A3" s="64" t="s">
        <v>1</v>
      </c>
      <c r="B3" s="65" t="s">
        <v>15</v>
      </c>
    </row>
    <row r="4" spans="1:2" x14ac:dyDescent="0.3">
      <c r="A4" s="6" t="s">
        <v>2</v>
      </c>
      <c r="B4" s="9">
        <v>2022</v>
      </c>
    </row>
    <row r="5" spans="1:2" ht="55.2" x14ac:dyDescent="0.3">
      <c r="A5" s="64" t="s">
        <v>3</v>
      </c>
      <c r="B5" s="65" t="s">
        <v>16</v>
      </c>
    </row>
    <row r="6" spans="1:2" x14ac:dyDescent="0.3">
      <c r="A6" s="6" t="s">
        <v>4</v>
      </c>
      <c r="B6" s="8" t="s">
        <v>17</v>
      </c>
    </row>
    <row r="7" spans="1:2" x14ac:dyDescent="0.3">
      <c r="A7" s="64" t="s">
        <v>5</v>
      </c>
      <c r="B7" s="65" t="s">
        <v>18</v>
      </c>
    </row>
    <row r="8" spans="1:2" x14ac:dyDescent="0.3">
      <c r="A8" s="6" t="s">
        <v>6</v>
      </c>
      <c r="B8" s="8" t="s">
        <v>19</v>
      </c>
    </row>
    <row r="9" spans="1:2" x14ac:dyDescent="0.3">
      <c r="A9" s="64" t="s">
        <v>20</v>
      </c>
      <c r="B9" s="65" t="s">
        <v>21</v>
      </c>
    </row>
    <row r="10" spans="1:2" ht="27.6" x14ac:dyDescent="0.3">
      <c r="A10" s="6" t="s">
        <v>7</v>
      </c>
      <c r="B10" s="8" t="s">
        <v>22</v>
      </c>
    </row>
    <row r="11" spans="1:2" ht="27.6" x14ac:dyDescent="0.3">
      <c r="A11" s="64" t="s">
        <v>8</v>
      </c>
      <c r="B11" s="65" t="s">
        <v>23</v>
      </c>
    </row>
    <row r="12" spans="1:2" ht="27.6" x14ac:dyDescent="0.3">
      <c r="A12" s="6" t="s">
        <v>9</v>
      </c>
      <c r="B12" s="8" t="s">
        <v>24</v>
      </c>
    </row>
    <row r="13" spans="1:2" ht="41.4" x14ac:dyDescent="0.3">
      <c r="A13" s="64" t="s">
        <v>10</v>
      </c>
      <c r="B13" s="65" t="s">
        <v>35</v>
      </c>
    </row>
    <row r="14" spans="1:2" ht="28.2" thickBot="1" x14ac:dyDescent="0.35">
      <c r="A14" s="7" t="s">
        <v>11</v>
      </c>
      <c r="B14" s="10" t="s">
        <v>34</v>
      </c>
    </row>
    <row r="15" spans="1:2" ht="14.4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F3AB-5408-4FF8-9543-E73BAF6FA352}">
  <dimension ref="A1:C4"/>
  <sheetViews>
    <sheetView workbookViewId="0">
      <selection activeCell="G4" sqref="G4"/>
    </sheetView>
  </sheetViews>
  <sheetFormatPr defaultRowHeight="13.8" x14ac:dyDescent="0.3"/>
  <cols>
    <col min="1" max="1" width="22.77734375" style="3" customWidth="1"/>
    <col min="2" max="2" width="24.109375" style="3" customWidth="1"/>
    <col min="3" max="3" width="24.21875" style="3" customWidth="1"/>
    <col min="4" max="16384" width="8.88671875" style="3"/>
  </cols>
  <sheetData>
    <row r="1" spans="1:3" ht="15" thickTop="1" thickBot="1" x14ac:dyDescent="0.35">
      <c r="A1" s="56" t="s">
        <v>25</v>
      </c>
      <c r="B1" s="57" t="s">
        <v>26</v>
      </c>
      <c r="C1" s="56" t="s">
        <v>27</v>
      </c>
    </row>
    <row r="2" spans="1:3" ht="70.8" customHeight="1" x14ac:dyDescent="0.3">
      <c r="A2" s="18" t="s">
        <v>28</v>
      </c>
      <c r="B2" s="19" t="s">
        <v>32</v>
      </c>
      <c r="C2" s="20" t="s">
        <v>29</v>
      </c>
    </row>
    <row r="3" spans="1:3" ht="78.599999999999994" customHeight="1" thickBot="1" x14ac:dyDescent="0.35">
      <c r="A3" s="66" t="s">
        <v>30</v>
      </c>
      <c r="B3" s="67" t="s">
        <v>33</v>
      </c>
      <c r="C3" s="68" t="s">
        <v>31</v>
      </c>
    </row>
    <row r="4" spans="1:3" ht="14.4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AC3A-00AE-4C4D-870A-A0AFE21DBAF6}">
  <dimension ref="A1:H8"/>
  <sheetViews>
    <sheetView workbookViewId="0">
      <selection activeCell="E4" sqref="E4"/>
    </sheetView>
  </sheetViews>
  <sheetFormatPr defaultRowHeight="13.8" x14ac:dyDescent="0.3"/>
  <cols>
    <col min="1" max="1" width="14.109375" style="3" customWidth="1"/>
    <col min="2" max="2" width="9.88671875" style="3" customWidth="1"/>
    <col min="3" max="3" width="11.5546875" style="3" customWidth="1"/>
    <col min="4" max="4" width="11.21875" style="3" customWidth="1"/>
    <col min="5" max="5" width="10.109375" style="3" customWidth="1"/>
    <col min="6" max="6" width="9.21875" style="3" customWidth="1"/>
    <col min="7" max="7" width="8.88671875" style="3"/>
    <col min="8" max="8" width="8.109375" style="3" customWidth="1"/>
    <col min="9" max="16384" width="8.88671875" style="3"/>
  </cols>
  <sheetData>
    <row r="1" spans="1:8" ht="17.399999999999999" x14ac:dyDescent="0.3">
      <c r="A1" s="101" t="s">
        <v>111</v>
      </c>
      <c r="B1" s="101"/>
      <c r="C1" s="101"/>
      <c r="D1" s="101"/>
      <c r="E1" s="101"/>
      <c r="F1" s="101"/>
      <c r="G1" s="101"/>
      <c r="H1" s="101"/>
    </row>
    <row r="2" spans="1:8" ht="14.4" thickBot="1" x14ac:dyDescent="0.35"/>
    <row r="3" spans="1:8" ht="28.8" thickTop="1" thickBot="1" x14ac:dyDescent="0.35">
      <c r="A3" s="56" t="s">
        <v>36</v>
      </c>
      <c r="B3" s="57" t="s">
        <v>37</v>
      </c>
      <c r="C3" s="56" t="s">
        <v>38</v>
      </c>
    </row>
    <row r="4" spans="1:8" x14ac:dyDescent="0.3">
      <c r="A4" s="21" t="s">
        <v>39</v>
      </c>
      <c r="B4" s="22">
        <v>2.4300000000000002</v>
      </c>
      <c r="C4" s="23">
        <v>0.19</v>
      </c>
    </row>
    <row r="5" spans="1:8" x14ac:dyDescent="0.3">
      <c r="A5" s="69" t="s">
        <v>40</v>
      </c>
      <c r="B5" s="70">
        <v>2.2599999999999998</v>
      </c>
      <c r="C5" s="71">
        <v>0.54</v>
      </c>
    </row>
    <row r="6" spans="1:8" x14ac:dyDescent="0.3">
      <c r="A6" s="12" t="s">
        <v>41</v>
      </c>
      <c r="B6" s="15">
        <v>2.52</v>
      </c>
      <c r="C6" s="13">
        <v>0.09</v>
      </c>
    </row>
    <row r="7" spans="1:8" ht="28.2" thickBot="1" x14ac:dyDescent="0.35">
      <c r="A7" s="66" t="s">
        <v>42</v>
      </c>
      <c r="B7" s="72">
        <v>2.48</v>
      </c>
      <c r="C7" s="68">
        <v>0.11</v>
      </c>
    </row>
    <row r="8" spans="1:8" ht="14.4" thickTop="1" x14ac:dyDescent="0.3"/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A2C8-6961-461D-8745-B36514C2BE3E}">
  <dimension ref="A1:H8"/>
  <sheetViews>
    <sheetView workbookViewId="0">
      <selection activeCell="A2" sqref="A2"/>
    </sheetView>
  </sheetViews>
  <sheetFormatPr defaultRowHeight="13.8" x14ac:dyDescent="0.3"/>
  <cols>
    <col min="1" max="1" width="17" style="3" customWidth="1"/>
    <col min="2" max="2" width="20.88671875" style="3" customWidth="1"/>
    <col min="3" max="3" width="18.109375" style="3" customWidth="1"/>
    <col min="4" max="4" width="17.5546875" style="3" customWidth="1"/>
    <col min="5" max="6" width="16.109375" style="3" customWidth="1"/>
    <col min="7" max="16384" width="8.88671875" style="3"/>
  </cols>
  <sheetData>
    <row r="1" spans="1:8" ht="17.399999999999999" x14ac:dyDescent="0.3">
      <c r="A1" s="101" t="s">
        <v>127</v>
      </c>
      <c r="B1" s="101"/>
      <c r="C1" s="101"/>
      <c r="D1" s="101"/>
      <c r="E1" s="101"/>
      <c r="F1" s="14"/>
      <c r="G1" s="14"/>
      <c r="H1" s="14"/>
    </row>
    <row r="2" spans="1:8" ht="14.4" thickBot="1" x14ac:dyDescent="0.35"/>
    <row r="3" spans="1:8" ht="28.8" thickTop="1" thickBot="1" x14ac:dyDescent="0.35">
      <c r="A3" s="56" t="s">
        <v>36</v>
      </c>
      <c r="B3" s="57" t="s">
        <v>121</v>
      </c>
      <c r="C3" s="56" t="s">
        <v>122</v>
      </c>
      <c r="D3" s="56" t="s">
        <v>123</v>
      </c>
      <c r="E3" s="57" t="s">
        <v>124</v>
      </c>
      <c r="F3" s="56" t="s">
        <v>125</v>
      </c>
    </row>
    <row r="4" spans="1:8" x14ac:dyDescent="0.3">
      <c r="A4" s="21" t="s">
        <v>39</v>
      </c>
      <c r="B4" s="22">
        <v>24.3</v>
      </c>
      <c r="C4" s="19">
        <v>29.3</v>
      </c>
      <c r="D4" s="22">
        <v>1.08</v>
      </c>
      <c r="E4" s="19">
        <v>3.11</v>
      </c>
      <c r="F4" s="23">
        <v>215</v>
      </c>
    </row>
    <row r="5" spans="1:8" x14ac:dyDescent="0.3">
      <c r="A5" s="69" t="s">
        <v>40</v>
      </c>
      <c r="B5" s="73">
        <v>8.1999999999999993</v>
      </c>
      <c r="C5" s="74">
        <v>13.2</v>
      </c>
      <c r="D5" s="73">
        <v>2.5099999999999998</v>
      </c>
      <c r="E5" s="74">
        <v>9.35</v>
      </c>
      <c r="F5" s="71">
        <v>102</v>
      </c>
    </row>
    <row r="6" spans="1:8" x14ac:dyDescent="0.3">
      <c r="A6" s="12" t="s">
        <v>41</v>
      </c>
      <c r="B6" s="24">
        <v>7.4</v>
      </c>
      <c r="C6" s="11">
        <v>12.9</v>
      </c>
      <c r="D6" s="24">
        <v>3.64</v>
      </c>
      <c r="E6" s="11">
        <v>24.71</v>
      </c>
      <c r="F6" s="13">
        <v>182</v>
      </c>
    </row>
    <row r="7" spans="1:8" ht="14.4" thickBot="1" x14ac:dyDescent="0.35">
      <c r="A7" s="66" t="s">
        <v>42</v>
      </c>
      <c r="B7" s="75">
        <v>4</v>
      </c>
      <c r="C7" s="67">
        <v>6.2</v>
      </c>
      <c r="D7" s="75">
        <v>3.17</v>
      </c>
      <c r="E7" s="67">
        <v>54.43</v>
      </c>
      <c r="F7" s="68">
        <v>180</v>
      </c>
    </row>
    <row r="8" spans="1:8" ht="14.4" thickTop="1" x14ac:dyDescent="0.3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A23A-E6FE-49D2-AADF-D73D7EC4B851}">
  <dimension ref="A1:O62"/>
  <sheetViews>
    <sheetView workbookViewId="0">
      <selection activeCell="H11" sqref="H11"/>
    </sheetView>
  </sheetViews>
  <sheetFormatPr defaultRowHeight="13.8" x14ac:dyDescent="0.3"/>
  <cols>
    <col min="1" max="1" width="14.77734375" style="3" customWidth="1"/>
    <col min="2" max="2" width="23.44140625" style="3" customWidth="1"/>
    <col min="3" max="3" width="22.6640625" style="3" customWidth="1"/>
    <col min="4" max="4" width="16.109375" style="3" customWidth="1"/>
    <col min="5" max="5" width="14.21875" style="3" customWidth="1"/>
    <col min="6" max="16384" width="8.88671875" style="3"/>
  </cols>
  <sheetData>
    <row r="1" spans="1:15" ht="18.600000000000001" thickTop="1" thickBot="1" x14ac:dyDescent="0.35">
      <c r="A1" s="56" t="s">
        <v>36</v>
      </c>
      <c r="B1" s="56" t="s">
        <v>43</v>
      </c>
      <c r="C1" s="56" t="s">
        <v>44</v>
      </c>
      <c r="D1" s="56" t="s">
        <v>45</v>
      </c>
      <c r="E1" s="56" t="s">
        <v>46</v>
      </c>
      <c r="G1" s="101" t="s">
        <v>112</v>
      </c>
      <c r="H1" s="101"/>
      <c r="I1" s="101"/>
      <c r="J1" s="101"/>
      <c r="K1" s="101"/>
      <c r="L1" s="101"/>
      <c r="M1" s="101"/>
      <c r="N1" s="101"/>
      <c r="O1" s="101"/>
    </row>
    <row r="2" spans="1:15" x14ac:dyDescent="0.3">
      <c r="A2" s="30" t="s">
        <v>39</v>
      </c>
      <c r="B2" s="31" t="s">
        <v>47</v>
      </c>
      <c r="C2" s="32" t="s">
        <v>48</v>
      </c>
      <c r="D2" s="33">
        <v>321000000000000</v>
      </c>
      <c r="E2" s="34" t="s">
        <v>49</v>
      </c>
    </row>
    <row r="3" spans="1:15" x14ac:dyDescent="0.3">
      <c r="A3" s="76" t="s">
        <v>39</v>
      </c>
      <c r="B3" s="77" t="s">
        <v>50</v>
      </c>
      <c r="C3" s="78" t="s">
        <v>48</v>
      </c>
      <c r="D3" s="79">
        <v>382000000000000</v>
      </c>
      <c r="E3" s="80" t="s">
        <v>49</v>
      </c>
    </row>
    <row r="4" spans="1:15" x14ac:dyDescent="0.3">
      <c r="A4" s="28" t="s">
        <v>39</v>
      </c>
      <c r="B4" s="26" t="s">
        <v>51</v>
      </c>
      <c r="C4" s="25" t="s">
        <v>48</v>
      </c>
      <c r="D4" s="27">
        <v>384000000000000</v>
      </c>
      <c r="E4" s="29" t="s">
        <v>49</v>
      </c>
    </row>
    <row r="5" spans="1:15" x14ac:dyDescent="0.3">
      <c r="A5" s="76" t="s">
        <v>39</v>
      </c>
      <c r="B5" s="77" t="s">
        <v>52</v>
      </c>
      <c r="C5" s="78" t="s">
        <v>48</v>
      </c>
      <c r="D5" s="79">
        <v>212000000000000</v>
      </c>
      <c r="E5" s="80" t="s">
        <v>49</v>
      </c>
    </row>
    <row r="6" spans="1:15" x14ac:dyDescent="0.3">
      <c r="A6" s="28" t="s">
        <v>39</v>
      </c>
      <c r="B6" s="26" t="s">
        <v>53</v>
      </c>
      <c r="C6" s="25" t="s">
        <v>48</v>
      </c>
      <c r="D6" s="27">
        <v>298000000000000</v>
      </c>
      <c r="E6" s="29" t="s">
        <v>49</v>
      </c>
    </row>
    <row r="7" spans="1:15" x14ac:dyDescent="0.3">
      <c r="A7" s="76" t="s">
        <v>39</v>
      </c>
      <c r="B7" s="77" t="s">
        <v>47</v>
      </c>
      <c r="C7" s="78" t="s">
        <v>54</v>
      </c>
      <c r="D7" s="77">
        <v>12.86</v>
      </c>
      <c r="E7" s="80" t="s">
        <v>55</v>
      </c>
    </row>
    <row r="8" spans="1:15" x14ac:dyDescent="0.3">
      <c r="A8" s="28" t="s">
        <v>39</v>
      </c>
      <c r="B8" s="26" t="s">
        <v>50</v>
      </c>
      <c r="C8" s="25" t="s">
        <v>54</v>
      </c>
      <c r="D8" s="26">
        <v>10.08</v>
      </c>
      <c r="E8" s="29" t="s">
        <v>55</v>
      </c>
    </row>
    <row r="9" spans="1:15" x14ac:dyDescent="0.3">
      <c r="A9" s="76" t="s">
        <v>39</v>
      </c>
      <c r="B9" s="77" t="s">
        <v>51</v>
      </c>
      <c r="C9" s="78" t="s">
        <v>54</v>
      </c>
      <c r="D9" s="77">
        <v>12.71</v>
      </c>
      <c r="E9" s="80" t="s">
        <v>55</v>
      </c>
    </row>
    <row r="10" spans="1:15" x14ac:dyDescent="0.3">
      <c r="A10" s="28" t="s">
        <v>39</v>
      </c>
      <c r="B10" s="26" t="s">
        <v>52</v>
      </c>
      <c r="C10" s="25" t="s">
        <v>54</v>
      </c>
      <c r="D10" s="26">
        <v>17.420000000000002</v>
      </c>
      <c r="E10" s="29" t="s">
        <v>55</v>
      </c>
    </row>
    <row r="11" spans="1:15" x14ac:dyDescent="0.3">
      <c r="A11" s="76" t="s">
        <v>39</v>
      </c>
      <c r="B11" s="77" t="s">
        <v>53</v>
      </c>
      <c r="C11" s="78" t="s">
        <v>54</v>
      </c>
      <c r="D11" s="77">
        <v>15.1</v>
      </c>
      <c r="E11" s="80" t="s">
        <v>55</v>
      </c>
    </row>
    <row r="12" spans="1:15" x14ac:dyDescent="0.3">
      <c r="A12" s="28" t="s">
        <v>39</v>
      </c>
      <c r="B12" s="26" t="s">
        <v>47</v>
      </c>
      <c r="C12" s="25" t="s">
        <v>56</v>
      </c>
      <c r="D12" s="26">
        <v>1513.46</v>
      </c>
      <c r="E12" s="29" t="s">
        <v>57</v>
      </c>
    </row>
    <row r="13" spans="1:15" x14ac:dyDescent="0.3">
      <c r="A13" s="76" t="s">
        <v>39</v>
      </c>
      <c r="B13" s="77" t="s">
        <v>50</v>
      </c>
      <c r="C13" s="78" t="s">
        <v>56</v>
      </c>
      <c r="D13" s="77">
        <v>1621.74</v>
      </c>
      <c r="E13" s="80" t="s">
        <v>57</v>
      </c>
    </row>
    <row r="14" spans="1:15" x14ac:dyDescent="0.3">
      <c r="A14" s="28" t="s">
        <v>39</v>
      </c>
      <c r="B14" s="26" t="s">
        <v>51</v>
      </c>
      <c r="C14" s="25" t="s">
        <v>56</v>
      </c>
      <c r="D14" s="26">
        <v>1278.9000000000001</v>
      </c>
      <c r="E14" s="29" t="s">
        <v>57</v>
      </c>
    </row>
    <row r="15" spans="1:15" x14ac:dyDescent="0.3">
      <c r="A15" s="76" t="s">
        <v>39</v>
      </c>
      <c r="B15" s="77" t="s">
        <v>52</v>
      </c>
      <c r="C15" s="78" t="s">
        <v>56</v>
      </c>
      <c r="D15" s="77">
        <v>1688.9</v>
      </c>
      <c r="E15" s="80" t="s">
        <v>57</v>
      </c>
    </row>
    <row r="16" spans="1:15" x14ac:dyDescent="0.3">
      <c r="A16" s="28" t="s">
        <v>39</v>
      </c>
      <c r="B16" s="26" t="s">
        <v>53</v>
      </c>
      <c r="C16" s="25" t="s">
        <v>56</v>
      </c>
      <c r="D16" s="26">
        <v>1386.46</v>
      </c>
      <c r="E16" s="29" t="s">
        <v>57</v>
      </c>
    </row>
    <row r="17" spans="1:5" x14ac:dyDescent="0.3">
      <c r="A17" s="76" t="s">
        <v>40</v>
      </c>
      <c r="B17" s="77" t="s">
        <v>47</v>
      </c>
      <c r="C17" s="78" t="s">
        <v>48</v>
      </c>
      <c r="D17" s="79">
        <v>493000000000000</v>
      </c>
      <c r="E17" s="80" t="s">
        <v>49</v>
      </c>
    </row>
    <row r="18" spans="1:5" x14ac:dyDescent="0.3">
      <c r="A18" s="28" t="s">
        <v>40</v>
      </c>
      <c r="B18" s="26" t="s">
        <v>50</v>
      </c>
      <c r="C18" s="25" t="s">
        <v>48</v>
      </c>
      <c r="D18" s="27">
        <v>247000000000000</v>
      </c>
      <c r="E18" s="29" t="s">
        <v>49</v>
      </c>
    </row>
    <row r="19" spans="1:5" x14ac:dyDescent="0.3">
      <c r="A19" s="76" t="s">
        <v>40</v>
      </c>
      <c r="B19" s="77" t="s">
        <v>51</v>
      </c>
      <c r="C19" s="78" t="s">
        <v>48</v>
      </c>
      <c r="D19" s="79">
        <v>420000000000000</v>
      </c>
      <c r="E19" s="80" t="s">
        <v>49</v>
      </c>
    </row>
    <row r="20" spans="1:5" x14ac:dyDescent="0.3">
      <c r="A20" s="28" t="s">
        <v>40</v>
      </c>
      <c r="B20" s="26" t="s">
        <v>52</v>
      </c>
      <c r="C20" s="25" t="s">
        <v>48</v>
      </c>
      <c r="D20" s="27">
        <v>231000000000000</v>
      </c>
      <c r="E20" s="29" t="s">
        <v>49</v>
      </c>
    </row>
    <row r="21" spans="1:5" x14ac:dyDescent="0.3">
      <c r="A21" s="76" t="s">
        <v>40</v>
      </c>
      <c r="B21" s="77" t="s">
        <v>53</v>
      </c>
      <c r="C21" s="78" t="s">
        <v>48</v>
      </c>
      <c r="D21" s="79">
        <v>420000000000000</v>
      </c>
      <c r="E21" s="80" t="s">
        <v>49</v>
      </c>
    </row>
    <row r="22" spans="1:5" x14ac:dyDescent="0.3">
      <c r="A22" s="28" t="s">
        <v>40</v>
      </c>
      <c r="B22" s="26" t="s">
        <v>47</v>
      </c>
      <c r="C22" s="25" t="s">
        <v>54</v>
      </c>
      <c r="D22" s="26">
        <v>11.62</v>
      </c>
      <c r="E22" s="29" t="s">
        <v>55</v>
      </c>
    </row>
    <row r="23" spans="1:5" x14ac:dyDescent="0.3">
      <c r="A23" s="76" t="s">
        <v>40</v>
      </c>
      <c r="B23" s="77" t="s">
        <v>50</v>
      </c>
      <c r="C23" s="78" t="s">
        <v>54</v>
      </c>
      <c r="D23" s="77">
        <v>14.45</v>
      </c>
      <c r="E23" s="80" t="s">
        <v>55</v>
      </c>
    </row>
    <row r="24" spans="1:5" x14ac:dyDescent="0.3">
      <c r="A24" s="28" t="s">
        <v>40</v>
      </c>
      <c r="B24" s="26" t="s">
        <v>51</v>
      </c>
      <c r="C24" s="25" t="s">
        <v>54</v>
      </c>
      <c r="D24" s="26">
        <v>10.42</v>
      </c>
      <c r="E24" s="29" t="s">
        <v>55</v>
      </c>
    </row>
    <row r="25" spans="1:5" x14ac:dyDescent="0.3">
      <c r="A25" s="76" t="s">
        <v>40</v>
      </c>
      <c r="B25" s="77" t="s">
        <v>52</v>
      </c>
      <c r="C25" s="78" t="s">
        <v>54</v>
      </c>
      <c r="D25" s="77">
        <v>16.53</v>
      </c>
      <c r="E25" s="80" t="s">
        <v>55</v>
      </c>
    </row>
    <row r="26" spans="1:5" x14ac:dyDescent="0.3">
      <c r="A26" s="28" t="s">
        <v>40</v>
      </c>
      <c r="B26" s="26" t="s">
        <v>53</v>
      </c>
      <c r="C26" s="25" t="s">
        <v>54</v>
      </c>
      <c r="D26" s="26">
        <v>11.7</v>
      </c>
      <c r="E26" s="29" t="s">
        <v>55</v>
      </c>
    </row>
    <row r="27" spans="1:5" x14ac:dyDescent="0.3">
      <c r="A27" s="76" t="s">
        <v>40</v>
      </c>
      <c r="B27" s="77" t="s">
        <v>47</v>
      </c>
      <c r="C27" s="78" t="s">
        <v>56</v>
      </c>
      <c r="D27" s="77">
        <v>1088.25</v>
      </c>
      <c r="E27" s="80" t="s">
        <v>57</v>
      </c>
    </row>
    <row r="28" spans="1:5" x14ac:dyDescent="0.3">
      <c r="A28" s="28" t="s">
        <v>40</v>
      </c>
      <c r="B28" s="26" t="s">
        <v>50</v>
      </c>
      <c r="C28" s="25" t="s">
        <v>56</v>
      </c>
      <c r="D28" s="26">
        <v>1750.28</v>
      </c>
      <c r="E28" s="29" t="s">
        <v>57</v>
      </c>
    </row>
    <row r="29" spans="1:5" x14ac:dyDescent="0.3">
      <c r="A29" s="76" t="s">
        <v>40</v>
      </c>
      <c r="B29" s="77" t="s">
        <v>51</v>
      </c>
      <c r="C29" s="78" t="s">
        <v>56</v>
      </c>
      <c r="D29" s="77">
        <v>1426.58</v>
      </c>
      <c r="E29" s="80" t="s">
        <v>57</v>
      </c>
    </row>
    <row r="30" spans="1:5" x14ac:dyDescent="0.3">
      <c r="A30" s="28" t="s">
        <v>40</v>
      </c>
      <c r="B30" s="26" t="s">
        <v>52</v>
      </c>
      <c r="C30" s="25" t="s">
        <v>56</v>
      </c>
      <c r="D30" s="26">
        <v>1630.24</v>
      </c>
      <c r="E30" s="29" t="s">
        <v>57</v>
      </c>
    </row>
    <row r="31" spans="1:5" x14ac:dyDescent="0.3">
      <c r="A31" s="76" t="s">
        <v>40</v>
      </c>
      <c r="B31" s="77" t="s">
        <v>53</v>
      </c>
      <c r="C31" s="78" t="s">
        <v>56</v>
      </c>
      <c r="D31" s="77">
        <v>1268.9100000000001</v>
      </c>
      <c r="E31" s="80" t="s">
        <v>57</v>
      </c>
    </row>
    <row r="32" spans="1:5" x14ac:dyDescent="0.3">
      <c r="A32" s="28" t="s">
        <v>41</v>
      </c>
      <c r="B32" s="26" t="s">
        <v>47</v>
      </c>
      <c r="C32" s="25" t="s">
        <v>48</v>
      </c>
      <c r="D32" s="27">
        <v>293000000000000</v>
      </c>
      <c r="E32" s="29" t="s">
        <v>49</v>
      </c>
    </row>
    <row r="33" spans="1:5" x14ac:dyDescent="0.3">
      <c r="A33" s="76" t="s">
        <v>41</v>
      </c>
      <c r="B33" s="77" t="s">
        <v>50</v>
      </c>
      <c r="C33" s="78" t="s">
        <v>48</v>
      </c>
      <c r="D33" s="79">
        <v>3.65E+18</v>
      </c>
      <c r="E33" s="80" t="s">
        <v>49</v>
      </c>
    </row>
    <row r="34" spans="1:5" x14ac:dyDescent="0.3">
      <c r="A34" s="28" t="s">
        <v>41</v>
      </c>
      <c r="B34" s="26" t="s">
        <v>51</v>
      </c>
      <c r="C34" s="25" t="s">
        <v>48</v>
      </c>
      <c r="D34" s="27">
        <v>7.88E+17</v>
      </c>
      <c r="E34" s="29" t="s">
        <v>49</v>
      </c>
    </row>
    <row r="35" spans="1:5" x14ac:dyDescent="0.3">
      <c r="A35" s="76" t="s">
        <v>41</v>
      </c>
      <c r="B35" s="77" t="s">
        <v>52</v>
      </c>
      <c r="C35" s="78" t="s">
        <v>48</v>
      </c>
      <c r="D35" s="79">
        <v>353000000000000</v>
      </c>
      <c r="E35" s="80" t="s">
        <v>49</v>
      </c>
    </row>
    <row r="36" spans="1:5" x14ac:dyDescent="0.3">
      <c r="A36" s="28" t="s">
        <v>41</v>
      </c>
      <c r="B36" s="26" t="s">
        <v>53</v>
      </c>
      <c r="C36" s="25" t="s">
        <v>48</v>
      </c>
      <c r="D36" s="27">
        <v>2000000000000000</v>
      </c>
      <c r="E36" s="29" t="s">
        <v>49</v>
      </c>
    </row>
    <row r="37" spans="1:5" x14ac:dyDescent="0.3">
      <c r="A37" s="76" t="s">
        <v>41</v>
      </c>
      <c r="B37" s="77" t="s">
        <v>47</v>
      </c>
      <c r="C37" s="78" t="s">
        <v>54</v>
      </c>
      <c r="D37" s="77">
        <v>14</v>
      </c>
      <c r="E37" s="80" t="s">
        <v>55</v>
      </c>
    </row>
    <row r="38" spans="1:5" x14ac:dyDescent="0.3">
      <c r="A38" s="28" t="s">
        <v>41</v>
      </c>
      <c r="B38" s="26" t="s">
        <v>50</v>
      </c>
      <c r="C38" s="25" t="s">
        <v>54</v>
      </c>
      <c r="D38" s="26">
        <v>0.94</v>
      </c>
      <c r="E38" s="29" t="s">
        <v>55</v>
      </c>
    </row>
    <row r="39" spans="1:5" x14ac:dyDescent="0.3">
      <c r="A39" s="76" t="s">
        <v>41</v>
      </c>
      <c r="B39" s="77" t="s">
        <v>51</v>
      </c>
      <c r="C39" s="78" t="s">
        <v>54</v>
      </c>
      <c r="D39" s="77">
        <v>1.22</v>
      </c>
      <c r="E39" s="80" t="s">
        <v>55</v>
      </c>
    </row>
    <row r="40" spans="1:5" x14ac:dyDescent="0.3">
      <c r="A40" s="28" t="s">
        <v>41</v>
      </c>
      <c r="B40" s="26" t="s">
        <v>52</v>
      </c>
      <c r="C40" s="25" t="s">
        <v>54</v>
      </c>
      <c r="D40" s="26">
        <v>21.35</v>
      </c>
      <c r="E40" s="29" t="s">
        <v>55</v>
      </c>
    </row>
    <row r="41" spans="1:5" x14ac:dyDescent="0.3">
      <c r="A41" s="76" t="s">
        <v>41</v>
      </c>
      <c r="B41" s="77" t="s">
        <v>53</v>
      </c>
      <c r="C41" s="78" t="s">
        <v>54</v>
      </c>
      <c r="D41" s="77">
        <v>12.7</v>
      </c>
      <c r="E41" s="80" t="s">
        <v>55</v>
      </c>
    </row>
    <row r="42" spans="1:5" x14ac:dyDescent="0.3">
      <c r="A42" s="28" t="s">
        <v>41</v>
      </c>
      <c r="B42" s="26" t="s">
        <v>47</v>
      </c>
      <c r="C42" s="25" t="s">
        <v>56</v>
      </c>
      <c r="D42" s="26">
        <v>1521.76</v>
      </c>
      <c r="E42" s="29" t="s">
        <v>57</v>
      </c>
    </row>
    <row r="43" spans="1:5" x14ac:dyDescent="0.3">
      <c r="A43" s="76" t="s">
        <v>41</v>
      </c>
      <c r="B43" s="77" t="s">
        <v>50</v>
      </c>
      <c r="C43" s="78" t="s">
        <v>56</v>
      </c>
      <c r="D43" s="77">
        <v>1.81</v>
      </c>
      <c r="E43" s="80" t="s">
        <v>57</v>
      </c>
    </row>
    <row r="44" spans="1:5" x14ac:dyDescent="0.3">
      <c r="A44" s="28" t="s">
        <v>41</v>
      </c>
      <c r="B44" s="26" t="s">
        <v>51</v>
      </c>
      <c r="C44" s="25" t="s">
        <v>56</v>
      </c>
      <c r="D44" s="26">
        <v>6.47</v>
      </c>
      <c r="E44" s="29" t="s">
        <v>57</v>
      </c>
    </row>
    <row r="45" spans="1:5" x14ac:dyDescent="0.3">
      <c r="A45" s="76" t="s">
        <v>41</v>
      </c>
      <c r="B45" s="77" t="s">
        <v>52</v>
      </c>
      <c r="C45" s="78" t="s">
        <v>56</v>
      </c>
      <c r="D45" s="77">
        <v>826.94</v>
      </c>
      <c r="E45" s="80" t="s">
        <v>57</v>
      </c>
    </row>
    <row r="46" spans="1:5" x14ac:dyDescent="0.3">
      <c r="A46" s="28" t="s">
        <v>41</v>
      </c>
      <c r="B46" s="26" t="s">
        <v>53</v>
      </c>
      <c r="C46" s="25" t="s">
        <v>56</v>
      </c>
      <c r="D46" s="26">
        <v>244.7</v>
      </c>
      <c r="E46" s="29" t="s">
        <v>57</v>
      </c>
    </row>
    <row r="47" spans="1:5" x14ac:dyDescent="0.3">
      <c r="A47" s="76" t="s">
        <v>42</v>
      </c>
      <c r="B47" s="77" t="s">
        <v>47</v>
      </c>
      <c r="C47" s="78" t="s">
        <v>48</v>
      </c>
      <c r="D47" s="79">
        <v>2.14E+17</v>
      </c>
      <c r="E47" s="80" t="s">
        <v>49</v>
      </c>
    </row>
    <row r="48" spans="1:5" x14ac:dyDescent="0.3">
      <c r="A48" s="28" t="s">
        <v>42</v>
      </c>
      <c r="B48" s="26" t="s">
        <v>50</v>
      </c>
      <c r="C48" s="25" t="s">
        <v>48</v>
      </c>
      <c r="D48" s="27">
        <v>1.87E+17</v>
      </c>
      <c r="E48" s="29" t="s">
        <v>49</v>
      </c>
    </row>
    <row r="49" spans="1:5" x14ac:dyDescent="0.3">
      <c r="A49" s="76" t="s">
        <v>42</v>
      </c>
      <c r="B49" s="77" t="s">
        <v>51</v>
      </c>
      <c r="C49" s="78" t="s">
        <v>48</v>
      </c>
      <c r="D49" s="79">
        <v>6.9E+17</v>
      </c>
      <c r="E49" s="80" t="s">
        <v>49</v>
      </c>
    </row>
    <row r="50" spans="1:5" x14ac:dyDescent="0.3">
      <c r="A50" s="28" t="s">
        <v>42</v>
      </c>
      <c r="B50" s="26" t="s">
        <v>52</v>
      </c>
      <c r="C50" s="25" t="s">
        <v>48</v>
      </c>
      <c r="D50" s="27">
        <v>193000000000000</v>
      </c>
      <c r="E50" s="29" t="s">
        <v>49</v>
      </c>
    </row>
    <row r="51" spans="1:5" x14ac:dyDescent="0.3">
      <c r="A51" s="76" t="s">
        <v>42</v>
      </c>
      <c r="B51" s="77" t="s">
        <v>53</v>
      </c>
      <c r="C51" s="78" t="s">
        <v>48</v>
      </c>
      <c r="D51" s="79">
        <v>428000000000000</v>
      </c>
      <c r="E51" s="80" t="s">
        <v>49</v>
      </c>
    </row>
    <row r="52" spans="1:5" x14ac:dyDescent="0.3">
      <c r="A52" s="28" t="s">
        <v>42</v>
      </c>
      <c r="B52" s="26" t="s">
        <v>47</v>
      </c>
      <c r="C52" s="25" t="s">
        <v>54</v>
      </c>
      <c r="D52" s="26">
        <v>2.17</v>
      </c>
      <c r="E52" s="29" t="s">
        <v>55</v>
      </c>
    </row>
    <row r="53" spans="1:5" x14ac:dyDescent="0.3">
      <c r="A53" s="76" t="s">
        <v>42</v>
      </c>
      <c r="B53" s="77" t="s">
        <v>50</v>
      </c>
      <c r="C53" s="78" t="s">
        <v>54</v>
      </c>
      <c r="D53" s="77">
        <v>0.98</v>
      </c>
      <c r="E53" s="80" t="s">
        <v>55</v>
      </c>
    </row>
    <row r="54" spans="1:5" x14ac:dyDescent="0.3">
      <c r="A54" s="28" t="s">
        <v>42</v>
      </c>
      <c r="B54" s="26" t="s">
        <v>51</v>
      </c>
      <c r="C54" s="25" t="s">
        <v>54</v>
      </c>
      <c r="D54" s="26">
        <v>0.3</v>
      </c>
      <c r="E54" s="29" t="s">
        <v>55</v>
      </c>
    </row>
    <row r="55" spans="1:5" x14ac:dyDescent="0.3">
      <c r="A55" s="76" t="s">
        <v>42</v>
      </c>
      <c r="B55" s="77" t="s">
        <v>52</v>
      </c>
      <c r="C55" s="78" t="s">
        <v>54</v>
      </c>
      <c r="D55" s="77">
        <v>8.08</v>
      </c>
      <c r="E55" s="80" t="s">
        <v>55</v>
      </c>
    </row>
    <row r="56" spans="1:5" x14ac:dyDescent="0.3">
      <c r="A56" s="28" t="s">
        <v>42</v>
      </c>
      <c r="B56" s="26" t="s">
        <v>53</v>
      </c>
      <c r="C56" s="25" t="s">
        <v>54</v>
      </c>
      <c r="D56" s="26">
        <v>12.38</v>
      </c>
      <c r="E56" s="29" t="s">
        <v>55</v>
      </c>
    </row>
    <row r="57" spans="1:5" x14ac:dyDescent="0.3">
      <c r="A57" s="76" t="s">
        <v>42</v>
      </c>
      <c r="B57" s="77" t="s">
        <v>47</v>
      </c>
      <c r="C57" s="78" t="s">
        <v>56</v>
      </c>
      <c r="D57" s="77">
        <v>13.36</v>
      </c>
      <c r="E57" s="80" t="s">
        <v>57</v>
      </c>
    </row>
    <row r="58" spans="1:5" x14ac:dyDescent="0.3">
      <c r="A58" s="28" t="s">
        <v>42</v>
      </c>
      <c r="B58" s="26" t="s">
        <v>50</v>
      </c>
      <c r="C58" s="25" t="s">
        <v>56</v>
      </c>
      <c r="D58" s="26">
        <v>33.770000000000003</v>
      </c>
      <c r="E58" s="29" t="s">
        <v>57</v>
      </c>
    </row>
    <row r="59" spans="1:5" x14ac:dyDescent="0.3">
      <c r="A59" s="76" t="s">
        <v>42</v>
      </c>
      <c r="B59" s="77" t="s">
        <v>51</v>
      </c>
      <c r="C59" s="78" t="s">
        <v>56</v>
      </c>
      <c r="D59" s="77">
        <v>30.04</v>
      </c>
      <c r="E59" s="80" t="s">
        <v>57</v>
      </c>
    </row>
    <row r="60" spans="1:5" x14ac:dyDescent="0.3">
      <c r="A60" s="28" t="s">
        <v>42</v>
      </c>
      <c r="B60" s="26" t="s">
        <v>52</v>
      </c>
      <c r="C60" s="25" t="s">
        <v>56</v>
      </c>
      <c r="D60" s="26">
        <v>4004.3</v>
      </c>
      <c r="E60" s="29" t="s">
        <v>57</v>
      </c>
    </row>
    <row r="61" spans="1:5" ht="14.4" thickBot="1" x14ac:dyDescent="0.35">
      <c r="A61" s="81" t="s">
        <v>42</v>
      </c>
      <c r="B61" s="82" t="s">
        <v>53</v>
      </c>
      <c r="C61" s="83" t="s">
        <v>56</v>
      </c>
      <c r="D61" s="82">
        <v>1178.82</v>
      </c>
      <c r="E61" s="84" t="s">
        <v>57</v>
      </c>
    </row>
    <row r="62" spans="1:5" ht="14.4" thickTop="1" x14ac:dyDescent="0.3"/>
  </sheetData>
  <mergeCells count="1">
    <mergeCell ref="G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E72B-E813-4C8A-B721-12E14A817209}">
  <dimension ref="A1:W51"/>
  <sheetViews>
    <sheetView zoomScale="85" zoomScaleNormal="85" workbookViewId="0">
      <selection activeCell="R32" sqref="R32"/>
    </sheetView>
  </sheetViews>
  <sheetFormatPr defaultRowHeight="13.8" x14ac:dyDescent="0.3"/>
  <cols>
    <col min="1" max="1" width="20.5546875" style="4" customWidth="1"/>
    <col min="2" max="2" width="13.33203125" style="4" customWidth="1"/>
    <col min="3" max="3" width="13.44140625" style="4" customWidth="1"/>
    <col min="4" max="4" width="17.33203125" style="4" customWidth="1"/>
    <col min="5" max="5" width="18.77734375" style="4" customWidth="1"/>
    <col min="6" max="6" width="8.88671875" style="4"/>
    <col min="7" max="7" width="26.33203125" style="4" customWidth="1"/>
    <col min="8" max="8" width="8.44140625" style="4" customWidth="1"/>
    <col min="9" max="9" width="8.5546875" style="4" customWidth="1"/>
    <col min="10" max="10" width="16.21875" style="4" customWidth="1"/>
    <col min="11" max="11" width="14.6640625" style="4" customWidth="1"/>
    <col min="12" max="12" width="8.88671875" style="4"/>
    <col min="13" max="13" width="19.33203125" style="4" customWidth="1"/>
    <col min="14" max="14" width="17.6640625" style="4" customWidth="1"/>
    <col min="15" max="15" width="17.5546875" style="4" customWidth="1"/>
    <col min="16" max="16" width="14.44140625" style="4" customWidth="1"/>
    <col min="17" max="17" width="19" style="4" customWidth="1"/>
    <col min="18" max="18" width="8.88671875" style="4"/>
    <col min="19" max="19" width="19.44140625" style="4" bestFit="1" customWidth="1"/>
    <col min="20" max="20" width="17.77734375" style="4" customWidth="1"/>
    <col min="21" max="21" width="28.21875" style="4" customWidth="1"/>
    <col min="22" max="22" width="18.88671875" style="4" customWidth="1"/>
    <col min="23" max="23" width="18.109375" style="4" customWidth="1"/>
    <col min="24" max="16384" width="8.88671875" style="4"/>
  </cols>
  <sheetData>
    <row r="1" spans="1:23" ht="20.399999999999999" x14ac:dyDescent="0.3">
      <c r="A1" s="102" t="s">
        <v>93</v>
      </c>
      <c r="B1" s="102"/>
      <c r="C1" s="102"/>
      <c r="D1" s="102"/>
      <c r="E1" s="102"/>
      <c r="F1" s="102"/>
      <c r="G1" s="102"/>
    </row>
    <row r="3" spans="1:23" ht="17.399999999999999" customHeight="1" x14ac:dyDescent="0.3">
      <c r="A3" s="103" t="s">
        <v>95</v>
      </c>
      <c r="B3" s="103"/>
      <c r="C3" s="103"/>
      <c r="D3" s="103"/>
      <c r="E3" s="103"/>
      <c r="G3" s="103" t="s">
        <v>128</v>
      </c>
      <c r="H3" s="103"/>
      <c r="I3" s="103"/>
      <c r="J3" s="103"/>
      <c r="K3" s="103"/>
      <c r="M3" s="103" t="s">
        <v>96</v>
      </c>
      <c r="N3" s="103"/>
      <c r="O3" s="103"/>
      <c r="P3" s="103"/>
      <c r="Q3" s="103"/>
    </row>
    <row r="4" spans="1:23" ht="14.4" thickBot="1" x14ac:dyDescent="0.35"/>
    <row r="5" spans="1:23" ht="16.2" thickTop="1" thickBot="1" x14ac:dyDescent="0.3">
      <c r="A5" s="56" t="s">
        <v>58</v>
      </c>
      <c r="B5" s="56" t="s">
        <v>59</v>
      </c>
      <c r="C5" s="56" t="s">
        <v>60</v>
      </c>
      <c r="D5" s="56" t="s">
        <v>61</v>
      </c>
      <c r="E5" s="56" t="s">
        <v>62</v>
      </c>
      <c r="G5" s="56" t="s">
        <v>63</v>
      </c>
      <c r="H5" s="56" t="s">
        <v>59</v>
      </c>
      <c r="I5" s="56" t="s">
        <v>60</v>
      </c>
      <c r="J5" s="56" t="s">
        <v>61</v>
      </c>
      <c r="K5" s="56" t="s">
        <v>62</v>
      </c>
      <c r="M5" s="114" t="s">
        <v>97</v>
      </c>
      <c r="N5" s="114"/>
      <c r="O5" s="114"/>
      <c r="P5" s="114"/>
      <c r="Q5" s="114"/>
      <c r="S5" s="114" t="s">
        <v>120</v>
      </c>
      <c r="T5" s="114"/>
      <c r="U5" s="114"/>
      <c r="V5" s="114"/>
      <c r="W5" s="114"/>
    </row>
    <row r="6" spans="1:23" ht="13.8" customHeight="1" thickTop="1" thickBot="1" x14ac:dyDescent="0.35">
      <c r="A6" s="35" t="s">
        <v>37</v>
      </c>
      <c r="B6" s="47">
        <f>MIN('Table 1 - Optical'!B4:B7)</f>
        <v>2.2599999999999998</v>
      </c>
      <c r="C6" s="49">
        <f>MAX('Table 1 - Optical'!B4:B7)</f>
        <v>2.52</v>
      </c>
      <c r="D6" s="49" t="str">
        <f>INDEX('Table 1 - Optical'!$A$4:$A$7, MATCH(B6, 'Table 1 - Optical'!$B$4:$B$7, 0))</f>
        <v>CdS + Ag</v>
      </c>
      <c r="E6" s="49" t="str">
        <f>INDEX('Table 1 - Optical'!$A$4:$A$7, MATCH(C6, 'Table 1 - Optical'!$B$4:$B$7, 0))</f>
        <v>CdS + MPA</v>
      </c>
      <c r="G6" s="46" t="s">
        <v>98</v>
      </c>
      <c r="H6" s="48">
        <f>MIN('Table 4 - AFM'!B4:B7)</f>
        <v>4</v>
      </c>
      <c r="I6" s="50">
        <f>MAX('Table 4 - AFM'!B4:B7)</f>
        <v>24.3</v>
      </c>
      <c r="J6" s="50" t="str">
        <f>INDEX('Table 4 - AFM'!$A$4:$A$7, MATCH(Analysis!H6, 'Table 4 - AFM'!$B$4:$B$7, 0))</f>
        <v>CdS + Ag + MPA</v>
      </c>
      <c r="K6" s="50" t="str">
        <f>INDEX('Table 4 - AFM'!$A$4:$A$7, MATCH(Analysis!I6, 'Table 4 - AFM'!$B$4:$B$7, 0))</f>
        <v>CdS</v>
      </c>
      <c r="M6" s="56" t="s">
        <v>94</v>
      </c>
      <c r="N6" s="56" t="s">
        <v>39</v>
      </c>
      <c r="O6" s="56" t="s">
        <v>40</v>
      </c>
      <c r="P6" s="56" t="s">
        <v>41</v>
      </c>
      <c r="Q6" s="56" t="s">
        <v>42</v>
      </c>
      <c r="S6" s="56" t="s">
        <v>94</v>
      </c>
      <c r="T6" s="56" t="s">
        <v>39</v>
      </c>
      <c r="U6" s="56" t="s">
        <v>40</v>
      </c>
      <c r="V6" s="56" t="s">
        <v>41</v>
      </c>
      <c r="W6" s="56" t="s">
        <v>42</v>
      </c>
    </row>
    <row r="7" spans="1:23" ht="15" customHeight="1" thickTop="1" thickBot="1" x14ac:dyDescent="0.35">
      <c r="A7" s="85" t="s">
        <v>38</v>
      </c>
      <c r="B7" s="86">
        <f>MIN('Table 1 - Optical'!C4:C7)</f>
        <v>0.09</v>
      </c>
      <c r="C7" s="87">
        <f>MAX('Table 1 - Optical'!C4:C7)</f>
        <v>0.54</v>
      </c>
      <c r="D7" s="87" t="str">
        <f>INDEX('Table 1 - Optical'!$A$4:$A$7, MATCH(Analysis!B7, 'Table 1 - Optical'!$C$4:$C$7, 0))</f>
        <v>CdS + MPA</v>
      </c>
      <c r="E7" s="87" t="str">
        <f>INDEX('Table 1 - Optical'!$A$4:$A$7, MATCH(Analysis!C7, 'Table 1 - Optical'!$C$4:$C$7, 0))</f>
        <v>CdS + Ag</v>
      </c>
      <c r="M7" s="99" t="s">
        <v>47</v>
      </c>
      <c r="N7" s="51">
        <v>1513.46</v>
      </c>
      <c r="O7" s="49">
        <v>1088.25</v>
      </c>
      <c r="P7" s="49">
        <v>1521.76</v>
      </c>
      <c r="Q7" s="36">
        <v>13.36</v>
      </c>
      <c r="S7" s="99" t="s">
        <v>47</v>
      </c>
      <c r="T7" s="52">
        <v>321000000000000</v>
      </c>
      <c r="U7" s="54">
        <v>493000000000000</v>
      </c>
      <c r="V7" s="54">
        <v>293000000000000</v>
      </c>
      <c r="W7" s="40">
        <v>2.14E+17</v>
      </c>
    </row>
    <row r="8" spans="1:23" ht="14.4" thickTop="1" x14ac:dyDescent="0.3">
      <c r="M8" s="99" t="s">
        <v>50</v>
      </c>
      <c r="N8" s="51">
        <v>1621.74</v>
      </c>
      <c r="O8" s="49">
        <v>1750.28</v>
      </c>
      <c r="P8" s="49">
        <v>1.81</v>
      </c>
      <c r="Q8" s="36">
        <v>33.770000000000003</v>
      </c>
      <c r="S8" s="99" t="s">
        <v>50</v>
      </c>
      <c r="T8" s="52">
        <v>382000000000000</v>
      </c>
      <c r="U8" s="54">
        <v>247000000000000</v>
      </c>
      <c r="V8" s="54">
        <v>3.65E+18</v>
      </c>
      <c r="W8" s="40">
        <v>1.87E+17</v>
      </c>
    </row>
    <row r="9" spans="1:23" ht="14.4" thickBot="1" x14ac:dyDescent="0.35">
      <c r="M9" s="99" t="s">
        <v>51</v>
      </c>
      <c r="N9" s="51">
        <v>1278.9000000000001</v>
      </c>
      <c r="O9" s="49">
        <v>1426.58</v>
      </c>
      <c r="P9" s="49">
        <v>6.47</v>
      </c>
      <c r="Q9" s="36">
        <v>30.04</v>
      </c>
      <c r="S9" s="99" t="s">
        <v>51</v>
      </c>
      <c r="T9" s="52">
        <v>384000000000000</v>
      </c>
      <c r="U9" s="54">
        <v>420000000000000</v>
      </c>
      <c r="V9" s="54">
        <v>7.88E+17</v>
      </c>
      <c r="W9" s="40">
        <v>6.9E+17</v>
      </c>
    </row>
    <row r="10" spans="1:23" ht="15.6" customHeight="1" thickTop="1" thickBot="1" x14ac:dyDescent="0.35">
      <c r="A10" s="61" t="s">
        <v>65</v>
      </c>
      <c r="B10" s="62" t="s">
        <v>37</v>
      </c>
      <c r="G10" s="63" t="s">
        <v>65</v>
      </c>
      <c r="H10" s="63" t="s">
        <v>99</v>
      </c>
      <c r="M10" s="99" t="s">
        <v>52</v>
      </c>
      <c r="N10" s="51">
        <v>1688.9</v>
      </c>
      <c r="O10" s="49">
        <v>1630.24</v>
      </c>
      <c r="P10" s="49">
        <v>826.94</v>
      </c>
      <c r="Q10" s="36">
        <v>4004.3</v>
      </c>
      <c r="S10" s="99" t="s">
        <v>52</v>
      </c>
      <c r="T10" s="52">
        <v>212000000000000</v>
      </c>
      <c r="U10" s="54">
        <v>231000000000000</v>
      </c>
      <c r="V10" s="54">
        <v>353000000000000</v>
      </c>
      <c r="W10" s="40">
        <v>193000000000000</v>
      </c>
    </row>
    <row r="11" spans="1:23" ht="14.4" thickBot="1" x14ac:dyDescent="0.35">
      <c r="A11" s="42" t="s">
        <v>39</v>
      </c>
      <c r="B11" s="45">
        <v>2.4300000000000002</v>
      </c>
      <c r="G11" s="42" t="s">
        <v>39</v>
      </c>
      <c r="H11" s="36">
        <v>24.3</v>
      </c>
      <c r="M11" s="100" t="s">
        <v>53</v>
      </c>
      <c r="N11" s="48">
        <v>1386.46</v>
      </c>
      <c r="O11" s="50">
        <v>1268.9100000000001</v>
      </c>
      <c r="P11" s="50">
        <v>244.7</v>
      </c>
      <c r="Q11" s="37">
        <v>1178.82</v>
      </c>
      <c r="S11" s="100" t="s">
        <v>53</v>
      </c>
      <c r="T11" s="53">
        <v>298000000000000</v>
      </c>
      <c r="U11" s="55">
        <v>420000000000000</v>
      </c>
      <c r="V11" s="55">
        <v>2000000000000000</v>
      </c>
      <c r="W11" s="41">
        <v>428000000000000</v>
      </c>
    </row>
    <row r="12" spans="1:23" ht="14.4" thickTop="1" x14ac:dyDescent="0.3">
      <c r="A12" s="38" t="s">
        <v>40</v>
      </c>
      <c r="B12" s="43">
        <v>2.2599999999999998</v>
      </c>
      <c r="G12" s="42" t="s">
        <v>40</v>
      </c>
      <c r="H12" s="36">
        <v>8.1999999999999993</v>
      </c>
    </row>
    <row r="13" spans="1:23" x14ac:dyDescent="0.3">
      <c r="A13" s="42" t="s">
        <v>41</v>
      </c>
      <c r="B13" s="36">
        <v>2.52</v>
      </c>
      <c r="G13" s="42" t="s">
        <v>41</v>
      </c>
      <c r="H13" s="36">
        <v>7.4</v>
      </c>
    </row>
    <row r="14" spans="1:23" ht="14.4" thickBot="1" x14ac:dyDescent="0.35">
      <c r="A14" s="39" t="s">
        <v>42</v>
      </c>
      <c r="B14" s="44">
        <v>2.48</v>
      </c>
      <c r="G14" s="46" t="s">
        <v>42</v>
      </c>
      <c r="H14" s="37">
        <v>4</v>
      </c>
    </row>
    <row r="15" spans="1:23" ht="16.8" customHeight="1" thickTop="1" x14ac:dyDescent="0.3"/>
    <row r="28" spans="13:23" ht="14.4" thickBot="1" x14ac:dyDescent="0.35"/>
    <row r="29" spans="13:23" ht="12.6" customHeight="1" thickTop="1" thickBot="1" x14ac:dyDescent="0.35">
      <c r="M29" s="4" t="s">
        <v>118</v>
      </c>
      <c r="N29" s="56" t="s">
        <v>36</v>
      </c>
      <c r="O29" s="56" t="s">
        <v>100</v>
      </c>
      <c r="P29" s="56" t="s">
        <v>105</v>
      </c>
      <c r="S29" s="4" t="s">
        <v>118</v>
      </c>
      <c r="T29" s="56" t="s">
        <v>36</v>
      </c>
      <c r="U29" s="56" t="s">
        <v>106</v>
      </c>
      <c r="V29" s="56" t="s">
        <v>105</v>
      </c>
    </row>
    <row r="30" spans="13:23" x14ac:dyDescent="0.3">
      <c r="N30" s="38" t="s">
        <v>39</v>
      </c>
      <c r="O30" s="58" t="s">
        <v>101</v>
      </c>
      <c r="P30" s="36" t="s">
        <v>51</v>
      </c>
      <c r="T30" s="38" t="s">
        <v>39</v>
      </c>
      <c r="U30" s="60" t="s">
        <v>107</v>
      </c>
      <c r="V30" s="36" t="s">
        <v>51</v>
      </c>
    </row>
    <row r="31" spans="13:23" x14ac:dyDescent="0.3">
      <c r="N31" s="89" t="s">
        <v>40</v>
      </c>
      <c r="O31" s="90" t="s">
        <v>102</v>
      </c>
      <c r="P31" s="91" t="s">
        <v>47</v>
      </c>
      <c r="T31" s="89" t="s">
        <v>40</v>
      </c>
      <c r="U31" s="94" t="s">
        <v>108</v>
      </c>
      <c r="V31" s="91" t="s">
        <v>47</v>
      </c>
    </row>
    <row r="32" spans="13:23" ht="13.8" customHeight="1" x14ac:dyDescent="0.3">
      <c r="N32" s="38" t="s">
        <v>41</v>
      </c>
      <c r="O32" s="58" t="s">
        <v>103</v>
      </c>
      <c r="P32" s="36" t="s">
        <v>50</v>
      </c>
      <c r="T32" s="38" t="s">
        <v>41</v>
      </c>
      <c r="U32" s="60" t="s">
        <v>109</v>
      </c>
      <c r="V32" s="36" t="s">
        <v>50</v>
      </c>
      <c r="W32" s="2"/>
    </row>
    <row r="33" spans="1:23" ht="14.4" thickBot="1" x14ac:dyDescent="0.35">
      <c r="N33" s="92" t="s">
        <v>42</v>
      </c>
      <c r="O33" s="93" t="s">
        <v>104</v>
      </c>
      <c r="P33" s="88" t="s">
        <v>47</v>
      </c>
      <c r="Q33" s="2"/>
      <c r="T33" s="92" t="s">
        <v>42</v>
      </c>
      <c r="U33" s="95" t="s">
        <v>110</v>
      </c>
      <c r="V33" s="88" t="s">
        <v>47</v>
      </c>
      <c r="W33" s="2"/>
    </row>
    <row r="34" spans="1:23" ht="14.4" thickTop="1" x14ac:dyDescent="0.3">
      <c r="P34" s="2"/>
      <c r="Q34" s="2"/>
      <c r="S34" s="5"/>
      <c r="T34" s="2"/>
      <c r="U34" s="2"/>
      <c r="V34" s="2"/>
      <c r="W34" s="2"/>
    </row>
    <row r="35" spans="1:23" ht="14.4" thickBot="1" x14ac:dyDescent="0.35">
      <c r="P35" s="2"/>
      <c r="Q35" s="2"/>
      <c r="S35" s="5"/>
      <c r="T35" s="2"/>
      <c r="U35" s="2"/>
      <c r="V35" s="2"/>
      <c r="W35" s="2"/>
    </row>
    <row r="36" spans="1:23" ht="15.6" customHeight="1" thickTop="1" x14ac:dyDescent="0.3">
      <c r="A36" s="123" t="s">
        <v>126</v>
      </c>
      <c r="B36" s="104" t="s">
        <v>115</v>
      </c>
      <c r="C36" s="105"/>
      <c r="D36" s="105"/>
      <c r="E36" s="106"/>
      <c r="G36" s="126" t="s">
        <v>126</v>
      </c>
      <c r="H36" s="105" t="s">
        <v>114</v>
      </c>
      <c r="I36" s="105"/>
      <c r="J36" s="105"/>
      <c r="K36" s="106"/>
      <c r="M36" s="123" t="s">
        <v>113</v>
      </c>
      <c r="N36" s="104" t="s">
        <v>119</v>
      </c>
      <c r="O36" s="105"/>
      <c r="P36" s="105"/>
      <c r="Q36" s="105"/>
      <c r="R36" s="105"/>
      <c r="S36" s="106"/>
      <c r="T36" s="2"/>
      <c r="U36" s="2"/>
      <c r="V36" s="2"/>
      <c r="W36" s="2"/>
    </row>
    <row r="37" spans="1:23" ht="15.6" customHeight="1" x14ac:dyDescent="0.3">
      <c r="A37" s="124"/>
      <c r="B37" s="107"/>
      <c r="C37" s="108"/>
      <c r="D37" s="108"/>
      <c r="E37" s="109"/>
      <c r="G37" s="127"/>
      <c r="H37" s="108"/>
      <c r="I37" s="108"/>
      <c r="J37" s="108"/>
      <c r="K37" s="109"/>
      <c r="M37" s="124"/>
      <c r="N37" s="107"/>
      <c r="O37" s="108"/>
      <c r="P37" s="108"/>
      <c r="Q37" s="108"/>
      <c r="R37" s="108"/>
      <c r="S37" s="109"/>
      <c r="T37" s="2"/>
      <c r="U37" s="2"/>
      <c r="V37" s="2"/>
      <c r="W37" s="2"/>
    </row>
    <row r="38" spans="1:23" ht="15.6" customHeight="1" thickBot="1" x14ac:dyDescent="0.35">
      <c r="A38" s="125"/>
      <c r="B38" s="110"/>
      <c r="C38" s="111"/>
      <c r="D38" s="111"/>
      <c r="E38" s="112"/>
      <c r="G38" s="128"/>
      <c r="H38" s="111"/>
      <c r="I38" s="111"/>
      <c r="J38" s="111"/>
      <c r="K38" s="112"/>
      <c r="M38" s="124"/>
      <c r="N38" s="107"/>
      <c r="O38" s="108"/>
      <c r="P38" s="108"/>
      <c r="Q38" s="108"/>
      <c r="R38" s="108"/>
      <c r="S38" s="109"/>
      <c r="T38" s="2"/>
      <c r="U38" s="2"/>
      <c r="V38" s="2"/>
      <c r="W38" s="2"/>
    </row>
    <row r="39" spans="1:23" ht="14.4" thickTop="1" x14ac:dyDescent="0.3">
      <c r="M39" s="124"/>
      <c r="N39" s="107"/>
      <c r="O39" s="108"/>
      <c r="P39" s="108"/>
      <c r="Q39" s="108"/>
      <c r="R39" s="108"/>
      <c r="S39" s="109"/>
    </row>
    <row r="40" spans="1:23" ht="14.4" customHeight="1" thickBot="1" x14ac:dyDescent="0.35">
      <c r="M40" s="125"/>
      <c r="N40" s="110"/>
      <c r="O40" s="111"/>
      <c r="P40" s="111"/>
      <c r="Q40" s="111"/>
      <c r="R40" s="111"/>
      <c r="S40" s="112"/>
    </row>
    <row r="41" spans="1:23" ht="15" customHeight="1" thickTop="1" x14ac:dyDescent="0.3">
      <c r="A41" s="121" t="s">
        <v>66</v>
      </c>
      <c r="B41" s="115" t="s">
        <v>116</v>
      </c>
      <c r="C41" s="116"/>
      <c r="D41" s="116"/>
      <c r="E41" s="117"/>
    </row>
    <row r="42" spans="1:23" ht="14.4" thickBot="1" x14ac:dyDescent="0.35">
      <c r="A42" s="122"/>
      <c r="B42" s="118"/>
      <c r="C42" s="119"/>
      <c r="D42" s="119"/>
      <c r="E42" s="120"/>
    </row>
    <row r="43" spans="1:23" ht="14.4" thickTop="1" x14ac:dyDescent="0.3"/>
    <row r="44" spans="1:23" x14ac:dyDescent="0.3">
      <c r="A44" s="113" t="s">
        <v>117</v>
      </c>
      <c r="B44" s="113"/>
      <c r="C44" s="113"/>
      <c r="D44" s="113"/>
      <c r="E44" s="113"/>
      <c r="F44" s="113"/>
    </row>
    <row r="47" spans="1:23" x14ac:dyDescent="0.3">
      <c r="N47" s="2"/>
      <c r="O47" s="2"/>
      <c r="P47" s="2"/>
      <c r="Q47" s="2"/>
    </row>
    <row r="48" spans="1:23" x14ac:dyDescent="0.3">
      <c r="M48" s="3"/>
      <c r="N48" s="2"/>
      <c r="O48" s="2"/>
      <c r="P48" s="2"/>
      <c r="Q48" s="2"/>
    </row>
    <row r="49" spans="14:17" x14ac:dyDescent="0.3">
      <c r="N49" s="2"/>
      <c r="O49" s="2"/>
      <c r="P49" s="2"/>
      <c r="Q49" s="2"/>
    </row>
    <row r="50" spans="14:17" x14ac:dyDescent="0.3">
      <c r="N50" s="2"/>
      <c r="O50" s="2"/>
      <c r="P50" s="2"/>
      <c r="Q50" s="2"/>
    </row>
    <row r="51" spans="14:17" x14ac:dyDescent="0.3">
      <c r="N51" s="2"/>
      <c r="O51" s="2"/>
      <c r="P51" s="2"/>
      <c r="Q51" s="2"/>
    </row>
  </sheetData>
  <mergeCells count="15">
    <mergeCell ref="A1:G1"/>
    <mergeCell ref="A3:E3"/>
    <mergeCell ref="G3:K3"/>
    <mergeCell ref="N36:S40"/>
    <mergeCell ref="A44:F44"/>
    <mergeCell ref="M3:Q3"/>
    <mergeCell ref="M5:Q5"/>
    <mergeCell ref="S5:W5"/>
    <mergeCell ref="B41:E42"/>
    <mergeCell ref="A41:A42"/>
    <mergeCell ref="B36:E38"/>
    <mergeCell ref="A36:A38"/>
    <mergeCell ref="G36:G38"/>
    <mergeCell ref="H36:K38"/>
    <mergeCell ref="M36:M4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B8CF-9C8F-4A1C-93DE-F0C022F0EF12}">
  <dimension ref="A1:C13"/>
  <sheetViews>
    <sheetView workbookViewId="0">
      <selection activeCell="C17" sqref="C17"/>
    </sheetView>
  </sheetViews>
  <sheetFormatPr defaultRowHeight="13.8" x14ac:dyDescent="0.3"/>
  <cols>
    <col min="1" max="1" width="26.5546875" style="4" bestFit="1" customWidth="1"/>
    <col min="2" max="2" width="11.6640625" style="4" customWidth="1"/>
    <col min="3" max="3" width="107.109375" style="4" customWidth="1"/>
    <col min="4" max="16384" width="8.88671875" style="4"/>
  </cols>
  <sheetData>
    <row r="1" spans="1:3" ht="15" thickTop="1" thickBot="1" x14ac:dyDescent="0.35">
      <c r="A1" s="56" t="s">
        <v>90</v>
      </c>
      <c r="B1" s="98" t="s">
        <v>91</v>
      </c>
      <c r="C1" s="97" t="s">
        <v>92</v>
      </c>
    </row>
    <row r="2" spans="1:3" x14ac:dyDescent="0.3">
      <c r="A2" s="42" t="s">
        <v>67</v>
      </c>
      <c r="B2" s="58" t="s">
        <v>64</v>
      </c>
      <c r="C2" s="36" t="s">
        <v>68</v>
      </c>
    </row>
    <row r="3" spans="1:3" x14ac:dyDescent="0.3">
      <c r="A3" s="96" t="s">
        <v>69</v>
      </c>
      <c r="B3" s="90" t="s">
        <v>64</v>
      </c>
      <c r="C3" s="91" t="s">
        <v>70</v>
      </c>
    </row>
    <row r="4" spans="1:3" x14ac:dyDescent="0.3">
      <c r="A4" s="42" t="s">
        <v>71</v>
      </c>
      <c r="B4" s="58" t="s">
        <v>64</v>
      </c>
      <c r="C4" s="36" t="s">
        <v>72</v>
      </c>
    </row>
    <row r="5" spans="1:3" ht="27.6" x14ac:dyDescent="0.3">
      <c r="A5" s="96" t="s">
        <v>73</v>
      </c>
      <c r="B5" s="90" t="s">
        <v>64</v>
      </c>
      <c r="C5" s="91" t="s">
        <v>74</v>
      </c>
    </row>
    <row r="6" spans="1:3" x14ac:dyDescent="0.3">
      <c r="A6" s="42" t="s">
        <v>75</v>
      </c>
      <c r="B6" s="58" t="s">
        <v>64</v>
      </c>
      <c r="C6" s="36" t="s">
        <v>76</v>
      </c>
    </row>
    <row r="7" spans="1:3" ht="27.6" x14ac:dyDescent="0.3">
      <c r="A7" s="96" t="s">
        <v>77</v>
      </c>
      <c r="B7" s="90" t="s">
        <v>64</v>
      </c>
      <c r="C7" s="91" t="s">
        <v>78</v>
      </c>
    </row>
    <row r="8" spans="1:3" x14ac:dyDescent="0.3">
      <c r="A8" s="42" t="s">
        <v>79</v>
      </c>
      <c r="B8" s="58" t="s">
        <v>64</v>
      </c>
      <c r="C8" s="36" t="s">
        <v>80</v>
      </c>
    </row>
    <row r="9" spans="1:3" x14ac:dyDescent="0.3">
      <c r="A9" s="96" t="s">
        <v>81</v>
      </c>
      <c r="B9" s="90" t="s">
        <v>64</v>
      </c>
      <c r="C9" s="91" t="s">
        <v>82</v>
      </c>
    </row>
    <row r="10" spans="1:3" x14ac:dyDescent="0.3">
      <c r="A10" s="42" t="s">
        <v>83</v>
      </c>
      <c r="B10" s="58" t="s">
        <v>64</v>
      </c>
      <c r="C10" s="36" t="s">
        <v>84</v>
      </c>
    </row>
    <row r="11" spans="1:3" ht="41.4" x14ac:dyDescent="0.3">
      <c r="A11" s="96" t="s">
        <v>85</v>
      </c>
      <c r="B11" s="90" t="s">
        <v>86</v>
      </c>
      <c r="C11" s="91" t="s">
        <v>87</v>
      </c>
    </row>
    <row r="12" spans="1:3" ht="42" thickBot="1" x14ac:dyDescent="0.35">
      <c r="A12" s="46" t="s">
        <v>88</v>
      </c>
      <c r="B12" s="59" t="s">
        <v>86</v>
      </c>
      <c r="C12" s="37" t="s">
        <v>89</v>
      </c>
    </row>
    <row r="13" spans="1:3" ht="14.4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Article Metadata</vt:lpstr>
      <vt:lpstr>Experimental Variables</vt:lpstr>
      <vt:lpstr>Table 1 - Optical</vt:lpstr>
      <vt:lpstr>Table 4 - AFM</vt:lpstr>
      <vt:lpstr>Table 5 - Electrical</vt:lpstr>
      <vt:lpstr>Analysis</vt:lpstr>
      <vt:lpstr>QA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Shriwastav</dc:creator>
  <cp:lastModifiedBy>Shreyas Shriwastav</cp:lastModifiedBy>
  <dcterms:created xsi:type="dcterms:W3CDTF">2015-06-05T18:17:20Z</dcterms:created>
  <dcterms:modified xsi:type="dcterms:W3CDTF">2026-10-03T06:47:02Z</dcterms:modified>
</cp:coreProperties>
</file>